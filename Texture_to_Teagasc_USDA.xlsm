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jcvx341\homeshares2$\Felipe.BachiondeSant\Excel_Models_macro\"/>
    </mc:Choice>
  </mc:AlternateContent>
  <bookViews>
    <workbookView xWindow="0" yWindow="0" windowWidth="19200" windowHeight="7050"/>
  </bookViews>
  <sheets>
    <sheet name="Texture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G15" i="1"/>
  <c r="F15" i="1"/>
  <c r="D15" i="1"/>
  <c r="G14" i="1"/>
  <c r="F14" i="1"/>
  <c r="D14" i="1"/>
  <c r="D6" i="1"/>
  <c r="F6" i="1"/>
  <c r="F5" i="1"/>
  <c r="F7" i="1"/>
  <c r="F8" i="1"/>
  <c r="F9" i="1"/>
  <c r="F10" i="1"/>
  <c r="F11" i="1"/>
  <c r="F12" i="1"/>
  <c r="F13" i="1"/>
  <c r="G5" i="1"/>
  <c r="G6" i="1"/>
  <c r="G7" i="1"/>
  <c r="G8" i="1"/>
  <c r="G9" i="1"/>
  <c r="G10" i="1"/>
  <c r="G11" i="1"/>
  <c r="G12" i="1"/>
  <c r="G13" i="1"/>
  <c r="E14" i="1"/>
  <c r="E15" i="1"/>
  <c r="F4" i="1" l="1"/>
  <c r="G4" i="1"/>
  <c r="E13" i="1"/>
  <c r="E6" i="1"/>
  <c r="D8" i="1" l="1"/>
  <c r="D9" i="1"/>
  <c r="D10" i="1"/>
  <c r="D11" i="1"/>
  <c r="D12" i="1"/>
  <c r="D5" i="1"/>
  <c r="D7" i="1"/>
  <c r="E11" i="1"/>
  <c r="E8" i="1"/>
  <c r="E5" i="1"/>
  <c r="E10" i="1"/>
  <c r="E7" i="1"/>
  <c r="E12" i="1"/>
  <c r="E9" i="1"/>
  <c r="E4" i="1"/>
  <c r="L3" i="1" l="1"/>
  <c r="J3" i="1"/>
</calcChain>
</file>

<file path=xl/sharedStrings.xml><?xml version="1.0" encoding="utf-8"?>
<sst xmlns="http://schemas.openxmlformats.org/spreadsheetml/2006/main" count="32" uniqueCount="32">
  <si>
    <t>SAND</t>
  </si>
  <si>
    <t>CLAY</t>
  </si>
  <si>
    <t>SILT</t>
  </si>
  <si>
    <t>USDA TEXTURE</t>
  </si>
  <si>
    <t>SAMPLE ID</t>
  </si>
  <si>
    <t>GRAPH COORD (X, Y)</t>
  </si>
  <si>
    <t>Teagasc Soil Texture Calculator (USDA) Ver. 1.0</t>
  </si>
  <si>
    <t>DO NOT CHANGE THE SIZE OF THE TRIANGLE; IT IS NECESSARY ENABLE THE MACROS TO RUN THE FUNCTION (MYTEXTURE_USDA); If you find any errors please send an email to Felipe.bachiondesanta@teagasc.ie</t>
  </si>
  <si>
    <t>Cl</t>
  </si>
  <si>
    <t>Clay</t>
  </si>
  <si>
    <t>SaCl</t>
  </si>
  <si>
    <t>Sandy Clay</t>
  </si>
  <si>
    <t>SaClLo</t>
  </si>
  <si>
    <t>SaLo</t>
  </si>
  <si>
    <t>Sandy Loam</t>
  </si>
  <si>
    <t>Loamy Sand</t>
  </si>
  <si>
    <t>LoSa</t>
  </si>
  <si>
    <t>Sa</t>
  </si>
  <si>
    <t>ClLo</t>
  </si>
  <si>
    <t>Clay Loam</t>
  </si>
  <si>
    <t>Lo</t>
  </si>
  <si>
    <t>Loam</t>
  </si>
  <si>
    <t>SiCl</t>
  </si>
  <si>
    <t>Silty Clay</t>
  </si>
  <si>
    <t>SiClLo</t>
  </si>
  <si>
    <t>Silty Clay Loam</t>
  </si>
  <si>
    <t>SiLo</t>
  </si>
  <si>
    <t>Silt Loam</t>
  </si>
  <si>
    <t>Si</t>
  </si>
  <si>
    <t>Silt</t>
  </si>
  <si>
    <t>Sandy Clay Loam</t>
  </si>
  <si>
    <t>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</si>
</sst>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€&quot;* #,##0.00_-;\-&quot;€&quot;* #,##0.00_-;_-&quot;€&quot;* &quot;-&quot;??_-;_-@_-"/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/>
    <xf numFmtId="0" fontId="4" fillId="0" borderId="0" xfId="0" applyFont="1" applyBorder="1" applyProtection="1"/>
    <xf numFmtId="0" fontId="6" fillId="0" borderId="0" xfId="0" applyFont="1" applyBorder="1" applyAlignment="1" applyProtection="1">
      <alignment horizontal="center"/>
    </xf>
    <xf numFmtId="0" fontId="6" fillId="0" borderId="0" xfId="0" applyNumberFormat="1" applyFont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2" fontId="4" fillId="3" borderId="1" xfId="0" applyNumberFormat="1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2" fontId="4" fillId="4" borderId="1" xfId="0" applyNumberFormat="1" applyFont="1" applyFill="1" applyBorder="1" applyAlignment="1" applyProtection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/>
    <xf numFmtId="164" fontId="4" fillId="3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2" fontId="0" fillId="4" borderId="1" xfId="0" applyNumberFormat="1" applyFill="1" applyBorder="1"/>
    <xf numFmtId="0" fontId="4" fillId="4" borderId="1" xfId="0" applyFont="1" applyFill="1" applyBorder="1" applyProtection="1"/>
    <xf numFmtId="0" fontId="4" fillId="2" borderId="1" xfId="0" applyFont="1" applyFill="1" applyBorder="1" applyAlignment="1" applyProtection="1">
      <alignment horizontal="center" vertical="center"/>
    </xf>
    <xf numFmtId="0" fontId="8" fillId="5" borderId="1" xfId="0" applyFont="1" applyFill="1" applyBorder="1" applyAlignment="1">
      <alignment horizontal="center"/>
    </xf>
    <xf numFmtId="44" fontId="4" fillId="2" borderId="1" xfId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5" fillId="0" borderId="0" xfId="0" applyFont="1" applyBorder="1" applyAlignment="1">
      <alignment horizontal="center" vertical="top"/>
    </xf>
    <xf numFmtId="0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/>
    <xf numFmtId="0" fontId="6" fillId="0" borderId="0" xfId="0" applyFont="1" applyAlignment="1"/>
    <xf numFmtId="0" fontId="4" fillId="2" borderId="1" xfId="0" applyFont="1" applyFill="1" applyBorder="1" applyAlignment="1" applyProtection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 wrapText="1"/>
    </xf>
  </cellXfs>
  <cellStyles count="2">
    <cellStyle name="Currency" xfId="1" builtinId="4"/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USDA Soil Taxonomy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8006057459739691E-2"/>
          <c:y val="0.13220131483387587"/>
          <c:w val="0.88440189267402569"/>
          <c:h val="0.74612455204811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Texture!$A$4</c:f>
              <c:strCache>
                <c:ptCount val="1"/>
                <c:pt idx="0">
                  <c:v>1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  <c:spPr>
              <a:solidFill>
                <a:schemeClr val="accent4"/>
              </a:solidFill>
            </c:spPr>
          </c:marker>
          <c:dPt>
            <c:idx val="0"/>
            <c:marker>
              <c:symbol val="squar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3-4AE8-40D0-9855-6585E8583E99}"/>
              </c:ext>
            </c:extLst>
          </c:dPt>
          <c:xVal>
            <c:numRef>
              <c:f>Texture!$F$4</c:f>
              <c:numCache>
                <c:formatCode>0.000</c:formatCode>
                <c:ptCount val="1"/>
                <c:pt idx="0">
                  <c:v>0.47499999999999998</c:v>
                </c:pt>
              </c:numCache>
            </c:numRef>
          </c:xVal>
          <c:yVal>
            <c:numRef>
              <c:f>Texture!$G$4</c:f>
              <c:numCache>
                <c:formatCode>0.000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E8-40D0-9855-6585E8583E99}"/>
            </c:ext>
          </c:extLst>
        </c:ser>
        <c:ser>
          <c:idx val="1"/>
          <c:order val="1"/>
          <c:tx>
            <c:strRef>
              <c:f>Texture!$A$5</c:f>
              <c:strCache>
                <c:ptCount val="1"/>
                <c:pt idx="0">
                  <c:v>2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Texture!$F$5</c:f>
              <c:numCache>
                <c:formatCode>0.000</c:formatCode>
                <c:ptCount val="1"/>
                <c:pt idx="0">
                  <c:v>0.64999999999999991</c:v>
                </c:pt>
              </c:numCache>
            </c:numRef>
          </c:xVal>
          <c:yVal>
            <c:numRef>
              <c:f>Texture!$G$5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E8-40D0-9855-6585E8583E99}"/>
            </c:ext>
          </c:extLst>
        </c:ser>
        <c:ser>
          <c:idx val="2"/>
          <c:order val="2"/>
          <c:tx>
            <c:strRef>
              <c:f>Texture!$A$6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Texture!$F$6</c:f>
              <c:numCache>
                <c:formatCode>0.000</c:formatCode>
                <c:ptCount val="1"/>
                <c:pt idx="0">
                  <c:v>0.87</c:v>
                </c:pt>
              </c:numCache>
            </c:numRef>
          </c:xVal>
          <c:yVal>
            <c:numRef>
              <c:f>Texture!$G$6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E8-40D0-9855-6585E8583E99}"/>
            </c:ext>
          </c:extLst>
        </c:ser>
        <c:ser>
          <c:idx val="3"/>
          <c:order val="3"/>
          <c:tx>
            <c:strRef>
              <c:f>Texture!$A$7</c:f>
              <c:strCache>
                <c:ptCount val="1"/>
                <c:pt idx="0">
                  <c:v>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Texture!$F$7</c:f>
              <c:numCache>
                <c:formatCode>0.000</c:formatCode>
                <c:ptCount val="1"/>
                <c:pt idx="0">
                  <c:v>0.67500000000000004</c:v>
                </c:pt>
              </c:numCache>
            </c:numRef>
          </c:xVal>
          <c:yVal>
            <c:numRef>
              <c:f>Texture!$G$7</c:f>
              <c:numCache>
                <c:formatCode>0.000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E8-40D0-9855-6585E8583E99}"/>
            </c:ext>
          </c:extLst>
        </c:ser>
        <c:ser>
          <c:idx val="4"/>
          <c:order val="4"/>
          <c:tx>
            <c:strRef>
              <c:f>Texture!$A$8</c:f>
              <c:strCache>
                <c:ptCount val="1"/>
                <c:pt idx="0">
                  <c:v>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B0F1-4C57-A34F-0DB1138BEA99}"/>
              </c:ext>
            </c:extLst>
          </c:dPt>
          <c:xVal>
            <c:numRef>
              <c:f>Texture!$F$8</c:f>
              <c:numCache>
                <c:formatCode>0.000</c:formatCode>
                <c:ptCount val="1"/>
                <c:pt idx="0">
                  <c:v>0.72499999999999998</c:v>
                </c:pt>
              </c:numCache>
            </c:numRef>
          </c:xVal>
          <c:yVal>
            <c:numRef>
              <c:f>Texture!$G$8</c:f>
              <c:numCache>
                <c:formatCode>0.000</c:formatCode>
                <c:ptCount val="1"/>
                <c:pt idx="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E8-40D0-9855-6585E8583E99}"/>
            </c:ext>
          </c:extLst>
        </c:ser>
        <c:ser>
          <c:idx val="6"/>
          <c:order val="5"/>
          <c:tx>
            <c:strRef>
              <c:f>Texture!$A$9</c:f>
              <c:strCache>
                <c:ptCount val="1"/>
                <c:pt idx="0">
                  <c:v>6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Texture!$F$9</c:f>
              <c:numCache>
                <c:formatCode>0.000</c:formatCode>
                <c:ptCount val="1"/>
                <c:pt idx="0">
                  <c:v>0.5</c:v>
                </c:pt>
              </c:numCache>
            </c:numRef>
          </c:xVal>
          <c:yVal>
            <c:numRef>
              <c:f>Texture!$G$9</c:f>
              <c:numCache>
                <c:formatCode>0.000</c:formatCode>
                <c:ptCount val="1"/>
                <c:pt idx="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E8-40D0-9855-6585E8583E99}"/>
            </c:ext>
          </c:extLst>
        </c:ser>
        <c:ser>
          <c:idx val="7"/>
          <c:order val="6"/>
          <c:tx>
            <c:strRef>
              <c:f>Texture!$A$10</c:f>
              <c:strCache>
                <c:ptCount val="1"/>
                <c:pt idx="0">
                  <c:v>7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Texture!$F$10</c:f>
              <c:numCache>
                <c:formatCode>0.000</c:formatCode>
                <c:ptCount val="1"/>
                <c:pt idx="0">
                  <c:v>0.27500000000000002</c:v>
                </c:pt>
              </c:numCache>
            </c:numRef>
          </c:xVal>
          <c:yVal>
            <c:numRef>
              <c:f>Texture!$G$10</c:f>
              <c:numCache>
                <c:formatCode>0.000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E8-40D0-9855-6585E8583E99}"/>
            </c:ext>
          </c:extLst>
        </c:ser>
        <c:ser>
          <c:idx val="11"/>
          <c:order val="7"/>
          <c:tx>
            <c:strRef>
              <c:f>Texture!$A$11</c:f>
              <c:strCache>
                <c:ptCount val="1"/>
                <c:pt idx="0">
                  <c:v>8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8"/>
          </c:marker>
          <c:xVal>
            <c:numRef>
              <c:f>Texture!$F$11</c:f>
              <c:numCache>
                <c:formatCode>0.000</c:formatCode>
                <c:ptCount val="1"/>
                <c:pt idx="0">
                  <c:v>0.35000000000000003</c:v>
                </c:pt>
              </c:numCache>
            </c:numRef>
          </c:xVal>
          <c:yVal>
            <c:numRef>
              <c:f>Texture!$G$11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AE8-40D0-9855-6585E8583E99}"/>
            </c:ext>
          </c:extLst>
        </c:ser>
        <c:ser>
          <c:idx val="9"/>
          <c:order val="8"/>
          <c:tx>
            <c:strRef>
              <c:f>Texture!$A$12</c:f>
              <c:strCache>
                <c:ptCount val="1"/>
                <c:pt idx="0">
                  <c:v>9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chemeClr val="accent2">
                  <a:lumMod val="5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Texture!$F$12</c:f>
              <c:numCache>
                <c:formatCode>0.000</c:formatCode>
                <c:ptCount val="1"/>
                <c:pt idx="0">
                  <c:v>0.10000000000000002</c:v>
                </c:pt>
              </c:numCache>
            </c:numRef>
          </c:xVal>
          <c:yVal>
            <c:numRef>
              <c:f>Texture!$G$12</c:f>
              <c:numCache>
                <c:formatCode>0.000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AE8-40D0-9855-6585E8583E99}"/>
            </c:ext>
          </c:extLst>
        </c:ser>
        <c:ser>
          <c:idx val="10"/>
          <c:order val="9"/>
          <c:tx>
            <c:strRef>
              <c:f>Texture!$A$13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8"/>
          </c:marker>
          <c:xVal>
            <c:numRef>
              <c:f>Texture!$F$13</c:f>
              <c:numCache>
                <c:formatCode>0.000</c:formatCode>
                <c:ptCount val="1"/>
                <c:pt idx="0">
                  <c:v>8.4999999999999978E-2</c:v>
                </c:pt>
              </c:numCache>
            </c:numRef>
          </c:xVal>
          <c:yVal>
            <c:numRef>
              <c:f>Texture!$G$13</c:f>
              <c:numCache>
                <c:formatCode>0.000</c:formatCode>
                <c:ptCount val="1"/>
                <c:pt idx="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AE8-40D0-9855-6585E8583E99}"/>
            </c:ext>
          </c:extLst>
        </c:ser>
        <c:ser>
          <c:idx val="5"/>
          <c:order val="10"/>
          <c:tx>
            <c:strRef>
              <c:f>Texture!$A$14</c:f>
              <c:strCache>
                <c:ptCount val="1"/>
                <c:pt idx="0">
                  <c:v>11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Ref>
              <c:f>Texture!$F$14</c:f>
              <c:numCache>
                <c:formatCode>0.000</c:formatCode>
                <c:ptCount val="1"/>
                <c:pt idx="0">
                  <c:v>0.42499999999999993</c:v>
                </c:pt>
              </c:numCache>
            </c:numRef>
          </c:xVal>
          <c:yVal>
            <c:numRef>
              <c:f>Texture!$G$14</c:f>
              <c:numCache>
                <c:formatCode>0.000</c:formatCode>
                <c:ptCount val="1"/>
                <c:pt idx="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0C-4ECC-A7EF-53EE00FDA64C}"/>
            </c:ext>
          </c:extLst>
        </c:ser>
        <c:ser>
          <c:idx val="8"/>
          <c:order val="11"/>
          <c:tx>
            <c:strRef>
              <c:f>Texture!$A$15</c:f>
              <c:strCache>
                <c:ptCount val="1"/>
                <c:pt idx="0">
                  <c:v>12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B0F0"/>
              </a:solidFill>
            </c:spPr>
          </c:marker>
          <c:xVal>
            <c:numRef>
              <c:f>Texture!$F$15</c:f>
              <c:numCache>
                <c:formatCode>0.000</c:formatCode>
                <c:ptCount val="1"/>
                <c:pt idx="0">
                  <c:v>0.27500000000000002</c:v>
                </c:pt>
              </c:numCache>
            </c:numRef>
          </c:xVal>
          <c:yVal>
            <c:numRef>
              <c:f>Texture!$G$15</c:f>
              <c:numCache>
                <c:formatCode>0.000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0C-4ECC-A7EF-53EE00FDA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2640"/>
        <c:axId val="42270720"/>
      </c:scatterChart>
      <c:valAx>
        <c:axId val="42272640"/>
        <c:scaling>
          <c:orientation val="minMax"/>
          <c:max val="1"/>
          <c:min val="0"/>
        </c:scaling>
        <c:delete val="1"/>
        <c:axPos val="b"/>
        <c:numFmt formatCode="0.000" sourceLinked="1"/>
        <c:majorTickMark val="out"/>
        <c:minorTickMark val="none"/>
        <c:tickLblPos val="nextTo"/>
        <c:crossAx val="42270720"/>
        <c:crosses val="autoZero"/>
        <c:crossBetween val="midCat"/>
      </c:valAx>
      <c:valAx>
        <c:axId val="42270720"/>
        <c:scaling>
          <c:orientation val="minMax"/>
          <c:max val="1"/>
          <c:min val="0"/>
        </c:scaling>
        <c:delete val="1"/>
        <c:axPos val="l"/>
        <c:numFmt formatCode="0.000" sourceLinked="1"/>
        <c:majorTickMark val="out"/>
        <c:minorTickMark val="none"/>
        <c:tickLblPos val="nextTo"/>
        <c:crossAx val="42272640"/>
        <c:crosses val="autoZero"/>
        <c:crossBetween val="midCat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1.7081208199585175E-2"/>
          <c:y val="3.3150375401335558E-2"/>
          <c:w val="5.7839711191820659E-2"/>
          <c:h val="0.53617624827449339"/>
        </c:manualLayout>
      </c:layout>
      <c:overlay val="0"/>
    </c:legend>
    <c:plotVisOnly val="1"/>
    <c:dispBlanksAs val="gap"/>
    <c:showDLblsOverMax val="0"/>
  </c:chart>
  <c:spPr>
    <a:blipFill dpi="0" rotWithShape="1">
      <a:blip xmlns:r="http://schemas.openxmlformats.org/officeDocument/2006/relationships" r:embed="rId1"/>
      <a:srcRect/>
      <a:stretch>
        <a:fillRect l="-2400" t="8500" r="-500" b="1500"/>
      </a:stretch>
    </a:blipFill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348343</xdr:colOff>
      <xdr:row>2</xdr:row>
      <xdr:rowOff>19637</xdr:rowOff>
    </xdr:from>
    <xdr:to>
      <xdr:col>13</xdr:col>
      <xdr:colOff>683000</xdr:colOff>
      <xdr:row>30</xdr:row>
      <xdr:rowOff>57345</xdr:rowOff>
    </xdr:to>
    <xdr:graphicFrame macro="">
      <xdr:nvGraphicFramePr>
        <xdr:cNvPr id="11" name="Diagramm 1">
          <a:extLst>
            <a:ext uri="{FF2B5EF4-FFF2-40B4-BE49-F238E27FC236}">
              <a16:creationId xmlns:a16="http://schemas.microsoft.com/office/drawing/2014/main" id="{E3AEBD98-9664-4ECA-9EBA-8480BFBE5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279400</xdr:colOff>
      <xdr:row>1</xdr:row>
      <xdr:rowOff>19050</xdr:rowOff>
    </xdr:from>
    <xdr:to>
      <xdr:col>5</xdr:col>
      <xdr:colOff>241300</xdr:colOff>
      <xdr:row>1</xdr:row>
      <xdr:rowOff>1302357</xdr:rowOff>
    </xdr:to>
    <xdr:pic>
      <xdr:nvPicPr>
        <xdr:cNvPr id="16" name="Picture 15" descr="TEAGASC LOGO (COL) - Johnstown Castl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" y="203200"/>
          <a:ext cx="3670300" cy="1283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lipe.BachiondeSant\Downloads\nrcs142p2_052537_2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ure"/>
      <sheetName val="Calculations1"/>
      <sheetName val="Calculations2"/>
      <sheetName val="Calculations3"/>
      <sheetName val="Calculations4"/>
      <sheetName val="Calculations5"/>
      <sheetName val="Calculations6"/>
      <sheetName val="Calculations7"/>
      <sheetName val="Calculations8"/>
      <sheetName val="ShadedArea"/>
      <sheetName val="SavedData"/>
      <sheetName val="Example"/>
      <sheetName val="Print"/>
      <sheetName val="Instructions"/>
      <sheetName val="RepTex"/>
    </sheetNames>
    <sheetDataSet>
      <sheetData sheetId="0">
        <row r="4">
          <cell r="B4"/>
        </row>
        <row r="6">
          <cell r="D6">
            <v>0.19687399999999999</v>
          </cell>
          <cell r="F6">
            <v>0.49696699999999994</v>
          </cell>
        </row>
        <row r="7">
          <cell r="D7">
            <v>0.15840000000000001</v>
          </cell>
          <cell r="F7">
            <v>0.33993600000000002</v>
          </cell>
        </row>
        <row r="8">
          <cell r="D8">
            <v>0.15679999999999999</v>
          </cell>
          <cell r="F8">
            <v>0.45219999999999999</v>
          </cell>
        </row>
        <row r="9">
          <cell r="D9"/>
          <cell r="F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D6" t="str">
            <v/>
          </cell>
          <cell r="F6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59"/>
  <sheetViews>
    <sheetView tabSelected="1" zoomScaleNormal="100" workbookViewId="0">
      <selection activeCell="E7" sqref="E7"/>
    </sheetView>
  </sheetViews>
  <sheetFormatPr defaultRowHeight="14.5" x14ac:dyDescent="0.35"/>
  <cols>
    <col min="1" max="1" width="11.6328125" style="14" bestFit="1" customWidth="1"/>
    <col min="2" max="2" width="14.08984375" style="16" customWidth="1"/>
    <col min="3" max="4" width="12" style="16" customWidth="1"/>
    <col min="5" max="5" width="15" style="16" bestFit="1" customWidth="1"/>
    <col min="6" max="7" width="12" style="16" customWidth="1"/>
    <col min="8" max="8" width="22.90625" style="5" customWidth="1"/>
    <col min="9" max="11" width="12" style="5" customWidth="1"/>
    <col min="12" max="15" width="10.7265625" style="5" customWidth="1"/>
    <col min="16" max="16" width="17.08984375" style="5" customWidth="1"/>
    <col min="17" max="17" width="10.7265625" style="5" customWidth="1"/>
    <col min="18" max="18" width="1.7265625" style="2" customWidth="1"/>
  </cols>
  <sheetData>
    <row r="1" spans="1:18" x14ac:dyDescent="0.35">
      <c r="A1" s="21" t="s">
        <v>6</v>
      </c>
      <c r="B1" s="21"/>
      <c r="C1" s="21"/>
      <c r="D1" s="21"/>
      <c r="E1" s="21"/>
      <c r="F1" s="21"/>
      <c r="G1" s="2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8" ht="105.5" customHeight="1" x14ac:dyDescent="0.35">
      <c r="A2"/>
      <c r="B2" s="22"/>
      <c r="C2" s="23"/>
      <c r="D2" s="23"/>
      <c r="E2" s="3"/>
      <c r="F2" s="3"/>
      <c r="G2" s="4"/>
      <c r="H2" s="29" t="s">
        <v>7</v>
      </c>
      <c r="I2" s="29"/>
      <c r="J2" s="29"/>
      <c r="K2" s="29"/>
      <c r="L2" s="29"/>
      <c r="M2" s="29"/>
      <c r="N2" s="29"/>
      <c r="R2" s="6"/>
    </row>
    <row r="3" spans="1:18" x14ac:dyDescent="0.35">
      <c r="A3" s="18" t="s">
        <v>4</v>
      </c>
      <c r="B3" s="17" t="s">
        <v>0</v>
      </c>
      <c r="C3" s="19" t="s">
        <v>1</v>
      </c>
      <c r="D3" s="19" t="s">
        <v>2</v>
      </c>
      <c r="E3" s="17" t="s">
        <v>3</v>
      </c>
      <c r="F3" s="27" t="s">
        <v>5</v>
      </c>
      <c r="G3" s="28"/>
      <c r="H3" s="24"/>
      <c r="I3" s="25"/>
      <c r="J3" s="24" t="str">
        <f>IF(OR(D4="Error",D5="Error",D6="Error",D7="Error"),"",IF([1]Texture!B4="","","Clay = "&amp;ROUND(MIN([1]Texture!D6:D9)*100,2)&amp;" - "&amp;[1]RepTex!D6&amp;" - "&amp;ROUND(MAX([1]Texture!D6:D9)*100,2)))</f>
        <v/>
      </c>
      <c r="K3" s="26"/>
      <c r="L3" s="24" t="str">
        <f>IF(OR(D4="Error",D5="Error",D6="Error",D7="Error"),"",IF([1]Texture!B4="","","Silt = "&amp;ROUND(MIN([1]Texture!F6:F9)*100,2)&amp;" - "&amp;[1]RepTex!F6&amp;" - "&amp;ROUND(MAX([1]Texture!F6:F9)*100,2)))</f>
        <v/>
      </c>
      <c r="M3" s="26"/>
      <c r="N3" s="6"/>
      <c r="O3"/>
      <c r="P3"/>
      <c r="Q3"/>
      <c r="R3"/>
    </row>
    <row r="4" spans="1:18" x14ac:dyDescent="0.35">
      <c r="A4" s="11">
        <v>1</v>
      </c>
      <c r="B4" s="12">
        <v>40</v>
      </c>
      <c r="C4" s="12">
        <v>25</v>
      </c>
      <c r="D4" s="8">
        <v>30</v>
      </c>
      <c r="E4" s="9" t="str">
        <f>MYTEXTURE_USDA(C4,D4,B4)</f>
        <v>Sum of values are not 100</v>
      </c>
      <c r="F4" s="13">
        <f t="shared" ref="F4:F13" si="0">1-(0.01*B4)-(0.5*(0.01*C4))</f>
        <v>0.47499999999999998</v>
      </c>
      <c r="G4" s="13">
        <f t="shared" ref="G4:G13" si="1">C4/100</f>
        <v>0.25</v>
      </c>
      <c r="H4" s="7"/>
      <c r="L4"/>
      <c r="N4" s="2"/>
      <c r="O4" t="s">
        <v>8</v>
      </c>
      <c r="P4" t="s">
        <v>9</v>
      </c>
      <c r="Q4"/>
      <c r="R4"/>
    </row>
    <row r="5" spans="1:18" x14ac:dyDescent="0.35">
      <c r="A5" s="11">
        <v>2</v>
      </c>
      <c r="B5" s="12">
        <v>30</v>
      </c>
      <c r="C5" s="12">
        <v>10</v>
      </c>
      <c r="D5" s="8">
        <f t="shared" ref="D4:D13" si="2">IF(B5+C5&gt;100,"Error",100-B5-C5)</f>
        <v>60</v>
      </c>
      <c r="E5" s="9" t="str">
        <f t="shared" ref="E5:E13" si="3">MYTEXTURE_USDA(C5,D5,B5)</f>
        <v>Silt Loam</v>
      </c>
      <c r="F5" s="13">
        <f t="shared" si="0"/>
        <v>0.64999999999999991</v>
      </c>
      <c r="G5" s="13">
        <f t="shared" si="1"/>
        <v>0.1</v>
      </c>
      <c r="N5" s="2"/>
      <c r="O5" t="s">
        <v>10</v>
      </c>
      <c r="P5" t="s">
        <v>11</v>
      </c>
      <c r="Q5"/>
      <c r="R5"/>
    </row>
    <row r="6" spans="1:18" x14ac:dyDescent="0.35">
      <c r="A6" s="11">
        <v>3</v>
      </c>
      <c r="B6" s="12">
        <v>8</v>
      </c>
      <c r="C6" s="12">
        <v>10</v>
      </c>
      <c r="D6" s="8">
        <f t="shared" si="2"/>
        <v>82</v>
      </c>
      <c r="E6" s="9" t="str">
        <f t="shared" si="3"/>
        <v>Silt</v>
      </c>
      <c r="F6" s="13">
        <f t="shared" si="0"/>
        <v>0.87</v>
      </c>
      <c r="G6" s="13">
        <f t="shared" si="1"/>
        <v>0.1</v>
      </c>
      <c r="N6" s="2"/>
      <c r="O6" t="s">
        <v>12</v>
      </c>
      <c r="P6" t="s">
        <v>30</v>
      </c>
      <c r="Q6"/>
      <c r="R6"/>
    </row>
    <row r="7" spans="1:18" x14ac:dyDescent="0.35">
      <c r="A7" s="11">
        <v>4</v>
      </c>
      <c r="B7" s="12">
        <v>10</v>
      </c>
      <c r="C7" s="12">
        <v>45</v>
      </c>
      <c r="D7" s="8">
        <f t="shared" si="2"/>
        <v>45</v>
      </c>
      <c r="E7" s="9" t="str">
        <f t="shared" si="3"/>
        <v>Silty Clay</v>
      </c>
      <c r="F7" s="13">
        <f t="shared" si="0"/>
        <v>0.67500000000000004</v>
      </c>
      <c r="G7" s="13">
        <f t="shared" si="1"/>
        <v>0.45</v>
      </c>
      <c r="N7" s="2"/>
      <c r="O7" t="s">
        <v>13</v>
      </c>
      <c r="P7" t="s">
        <v>14</v>
      </c>
      <c r="Q7"/>
      <c r="R7"/>
    </row>
    <row r="8" spans="1:18" x14ac:dyDescent="0.35">
      <c r="A8" s="11">
        <v>5</v>
      </c>
      <c r="B8" s="12">
        <v>10</v>
      </c>
      <c r="C8" s="12">
        <v>35</v>
      </c>
      <c r="D8" s="8">
        <f t="shared" si="2"/>
        <v>55</v>
      </c>
      <c r="E8" s="9" t="str">
        <f t="shared" si="3"/>
        <v>Silty Clay Loam</v>
      </c>
      <c r="F8" s="13">
        <f t="shared" si="0"/>
        <v>0.72499999999999998</v>
      </c>
      <c r="G8" s="13">
        <f t="shared" si="1"/>
        <v>0.35</v>
      </c>
      <c r="H8"/>
      <c r="I8"/>
      <c r="J8"/>
      <c r="K8"/>
      <c r="L8"/>
      <c r="M8"/>
      <c r="N8"/>
      <c r="O8" s="5" t="s">
        <v>16</v>
      </c>
      <c r="P8" t="s">
        <v>15</v>
      </c>
      <c r="R8"/>
    </row>
    <row r="9" spans="1:18" x14ac:dyDescent="0.35">
      <c r="A9" s="11">
        <v>6</v>
      </c>
      <c r="B9" s="12">
        <v>20</v>
      </c>
      <c r="C9" s="12">
        <v>60</v>
      </c>
      <c r="D9" s="8">
        <f t="shared" si="2"/>
        <v>20</v>
      </c>
      <c r="E9" s="9" t="str">
        <f t="shared" si="3"/>
        <v>Clay</v>
      </c>
      <c r="F9" s="13">
        <f t="shared" si="0"/>
        <v>0.5</v>
      </c>
      <c r="G9" s="13">
        <f t="shared" si="1"/>
        <v>0.6</v>
      </c>
      <c r="H9"/>
      <c r="I9"/>
      <c r="J9"/>
      <c r="K9"/>
      <c r="L9"/>
      <c r="M9"/>
      <c r="N9"/>
      <c r="O9" t="s">
        <v>17</v>
      </c>
      <c r="P9" t="s">
        <v>31</v>
      </c>
      <c r="Q9"/>
      <c r="R9"/>
    </row>
    <row r="10" spans="1:18" x14ac:dyDescent="0.35">
      <c r="A10" s="11">
        <v>7</v>
      </c>
      <c r="B10" s="12">
        <v>60</v>
      </c>
      <c r="C10" s="12">
        <v>25</v>
      </c>
      <c r="D10" s="8">
        <f t="shared" si="2"/>
        <v>15</v>
      </c>
      <c r="E10" s="9" t="str">
        <f t="shared" si="3"/>
        <v>Sandy Clay Loam</v>
      </c>
      <c r="F10" s="13">
        <f t="shared" si="0"/>
        <v>0.27500000000000002</v>
      </c>
      <c r="G10" s="13">
        <f t="shared" si="1"/>
        <v>0.25</v>
      </c>
      <c r="H10"/>
      <c r="I10"/>
      <c r="J10"/>
      <c r="K10"/>
      <c r="L10"/>
      <c r="M10"/>
      <c r="N10"/>
      <c r="O10" t="s">
        <v>18</v>
      </c>
      <c r="P10" t="s">
        <v>19</v>
      </c>
      <c r="Q10"/>
      <c r="R10"/>
    </row>
    <row r="11" spans="1:18" x14ac:dyDescent="0.35">
      <c r="A11" s="11">
        <v>8</v>
      </c>
      <c r="B11" s="12">
        <v>60</v>
      </c>
      <c r="C11" s="12">
        <v>10</v>
      </c>
      <c r="D11" s="8">
        <f t="shared" si="2"/>
        <v>30</v>
      </c>
      <c r="E11" s="9" t="str">
        <f t="shared" si="3"/>
        <v>Sandy Loam</v>
      </c>
      <c r="F11" s="13">
        <f t="shared" si="0"/>
        <v>0.35000000000000003</v>
      </c>
      <c r="G11" s="13">
        <f t="shared" si="1"/>
        <v>0.1</v>
      </c>
      <c r="H11"/>
      <c r="I11"/>
      <c r="J11"/>
      <c r="K11"/>
      <c r="L11"/>
      <c r="M11"/>
      <c r="N11"/>
      <c r="O11" t="s">
        <v>20</v>
      </c>
      <c r="P11" t="s">
        <v>21</v>
      </c>
      <c r="Q11"/>
      <c r="R11"/>
    </row>
    <row r="12" spans="1:18" x14ac:dyDescent="0.35">
      <c r="A12" s="11">
        <v>9</v>
      </c>
      <c r="B12" s="12">
        <v>85</v>
      </c>
      <c r="C12" s="12">
        <v>10</v>
      </c>
      <c r="D12" s="8">
        <f t="shared" si="2"/>
        <v>5</v>
      </c>
      <c r="E12" s="9" t="str">
        <f t="shared" si="3"/>
        <v>Loamy Sand</v>
      </c>
      <c r="F12" s="13">
        <f t="shared" si="0"/>
        <v>0.10000000000000002</v>
      </c>
      <c r="G12" s="13">
        <f t="shared" si="1"/>
        <v>0.1</v>
      </c>
      <c r="H12"/>
      <c r="I12"/>
      <c r="J12"/>
      <c r="K12"/>
      <c r="L12"/>
      <c r="M12"/>
      <c r="N12"/>
      <c r="O12" t="s">
        <v>22</v>
      </c>
      <c r="P12" t="s">
        <v>23</v>
      </c>
      <c r="Q12"/>
      <c r="R12"/>
    </row>
    <row r="13" spans="1:18" x14ac:dyDescent="0.35">
      <c r="A13" s="11">
        <v>10</v>
      </c>
      <c r="B13" s="12">
        <v>90</v>
      </c>
      <c r="C13" s="12">
        <v>3</v>
      </c>
      <c r="D13" s="8">
        <f t="shared" si="2"/>
        <v>7</v>
      </c>
      <c r="E13" s="9" t="str">
        <f t="shared" si="3"/>
        <v>Sand</v>
      </c>
      <c r="F13" s="13">
        <f t="shared" si="0"/>
        <v>8.4999999999999978E-2</v>
      </c>
      <c r="G13" s="13">
        <f t="shared" si="1"/>
        <v>0.03</v>
      </c>
      <c r="H13"/>
      <c r="I13"/>
      <c r="J13"/>
      <c r="K13"/>
      <c r="L13"/>
      <c r="M13"/>
      <c r="N13"/>
      <c r="O13" t="s">
        <v>24</v>
      </c>
      <c r="P13" t="s">
        <v>25</v>
      </c>
      <c r="Q13"/>
      <c r="R13"/>
    </row>
    <row r="14" spans="1:18" x14ac:dyDescent="0.35">
      <c r="A14" s="11">
        <v>11</v>
      </c>
      <c r="B14" s="12">
        <v>40</v>
      </c>
      <c r="C14" s="12">
        <v>35</v>
      </c>
      <c r="D14" s="8">
        <f t="shared" ref="D14:D15" si="4">IF(B14+C14&gt;100,"Error",100-B14-C14)</f>
        <v>25</v>
      </c>
      <c r="E14" s="9" t="str">
        <f t="shared" ref="E14:E15" si="5">MYTEXTURE_USDA(C14,D14,B14)</f>
        <v>Clay Loam</v>
      </c>
      <c r="F14" s="13">
        <f t="shared" ref="F14:F15" si="6">1-(0.01*B14)-(0.5*(0.01*C14))</f>
        <v>0.42499999999999993</v>
      </c>
      <c r="G14" s="13">
        <f t="shared" ref="G14:G15" si="7">C14/100</f>
        <v>0.35</v>
      </c>
      <c r="H14"/>
      <c r="I14"/>
      <c r="J14"/>
      <c r="K14"/>
      <c r="L14"/>
      <c r="M14"/>
      <c r="N14"/>
      <c r="O14" t="s">
        <v>26</v>
      </c>
      <c r="P14" t="s">
        <v>27</v>
      </c>
      <c r="Q14"/>
      <c r="R14"/>
    </row>
    <row r="15" spans="1:18" x14ac:dyDescent="0.35">
      <c r="A15" s="11">
        <v>12</v>
      </c>
      <c r="B15" s="12">
        <v>50</v>
      </c>
      <c r="C15" s="12">
        <v>45</v>
      </c>
      <c r="D15" s="8">
        <f t="shared" si="4"/>
        <v>5</v>
      </c>
      <c r="E15" s="9" t="str">
        <f t="shared" si="5"/>
        <v>Sandy Clay</v>
      </c>
      <c r="F15" s="13">
        <f t="shared" si="6"/>
        <v>0.27500000000000002</v>
      </c>
      <c r="G15" s="13">
        <f t="shared" si="7"/>
        <v>0.45</v>
      </c>
      <c r="H15"/>
      <c r="I15"/>
      <c r="J15"/>
      <c r="K15"/>
      <c r="L15"/>
      <c r="M15"/>
      <c r="N15"/>
      <c r="O15" t="s">
        <v>28</v>
      </c>
      <c r="P15" t="s">
        <v>29</v>
      </c>
      <c r="Q15"/>
      <c r="R15"/>
    </row>
    <row r="16" spans="1:18" x14ac:dyDescent="0.35">
      <c r="B16" s="14"/>
      <c r="C16" s="14"/>
      <c r="D16" s="14"/>
      <c r="E16" s="14"/>
      <c r="F16" s="14"/>
      <c r="G16" s="14"/>
      <c r="H16"/>
      <c r="I16"/>
      <c r="J16"/>
      <c r="K16"/>
      <c r="L16"/>
      <c r="M16"/>
      <c r="N16"/>
      <c r="O16"/>
      <c r="P16"/>
      <c r="Q16"/>
      <c r="R16"/>
    </row>
    <row r="17" spans="2:18" x14ac:dyDescent="0.35">
      <c r="B17" s="15"/>
      <c r="C17" s="15"/>
      <c r="D17" s="10"/>
      <c r="E17" s="20"/>
      <c r="O17" s="2"/>
      <c r="P17"/>
      <c r="Q17"/>
      <c r="R17"/>
    </row>
    <row r="18" spans="2:18" x14ac:dyDescent="0.35">
      <c r="B18" s="15"/>
      <c r="C18" s="15"/>
      <c r="D18" s="10"/>
      <c r="E18" s="20"/>
      <c r="O18" s="2"/>
      <c r="P18"/>
      <c r="Q18"/>
      <c r="R18"/>
    </row>
    <row r="19" spans="2:18" x14ac:dyDescent="0.35">
      <c r="B19" s="15"/>
      <c r="C19" s="15"/>
      <c r="D19" s="10"/>
      <c r="E19" s="20"/>
      <c r="O19" s="2"/>
      <c r="P19"/>
      <c r="Q19"/>
      <c r="R19"/>
    </row>
    <row r="20" spans="2:18" x14ac:dyDescent="0.35">
      <c r="B20" s="15"/>
      <c r="C20" s="15"/>
      <c r="D20" s="10"/>
      <c r="E20" s="20"/>
      <c r="O20" s="2"/>
      <c r="P20"/>
      <c r="Q20"/>
      <c r="R20"/>
    </row>
    <row r="21" spans="2:18" x14ac:dyDescent="0.35">
      <c r="B21" s="15"/>
      <c r="C21" s="15"/>
      <c r="D21" s="10"/>
      <c r="E21" s="20"/>
      <c r="O21" s="2"/>
      <c r="P21"/>
      <c r="Q21"/>
      <c r="R21"/>
    </row>
    <row r="22" spans="2:18" x14ac:dyDescent="0.35">
      <c r="B22" s="15"/>
      <c r="C22" s="15"/>
      <c r="D22" s="10"/>
      <c r="E22" s="20"/>
      <c r="O22" s="2"/>
      <c r="P22"/>
      <c r="Q22"/>
      <c r="R22"/>
    </row>
    <row r="23" spans="2:18" x14ac:dyDescent="0.35">
      <c r="B23" s="15"/>
      <c r="C23" s="15"/>
      <c r="D23" s="10"/>
      <c r="E23" s="20"/>
      <c r="O23" s="2"/>
      <c r="P23"/>
      <c r="Q23"/>
      <c r="R23"/>
    </row>
    <row r="24" spans="2:18" x14ac:dyDescent="0.35">
      <c r="B24" s="15"/>
      <c r="C24" s="15"/>
      <c r="D24" s="10"/>
      <c r="E24" s="20"/>
      <c r="O24" s="2"/>
      <c r="P24"/>
      <c r="Q24"/>
      <c r="R24"/>
    </row>
    <row r="25" spans="2:18" x14ac:dyDescent="0.35">
      <c r="B25" s="15"/>
      <c r="C25" s="15"/>
      <c r="D25" s="10"/>
      <c r="E25" s="20"/>
      <c r="O25" s="2"/>
      <c r="P25"/>
      <c r="Q25"/>
      <c r="R25"/>
    </row>
    <row r="26" spans="2:18" x14ac:dyDescent="0.35">
      <c r="B26" s="15"/>
      <c r="C26" s="15"/>
      <c r="D26" s="10"/>
      <c r="E26" s="20"/>
      <c r="O26" s="2"/>
      <c r="P26"/>
      <c r="Q26"/>
      <c r="R26"/>
    </row>
    <row r="27" spans="2:18" x14ac:dyDescent="0.35">
      <c r="B27" s="15"/>
      <c r="C27" s="15"/>
      <c r="D27" s="10"/>
      <c r="E27" s="20"/>
      <c r="O27" s="2"/>
      <c r="P27"/>
      <c r="Q27"/>
      <c r="R27"/>
    </row>
    <row r="28" spans="2:18" x14ac:dyDescent="0.35">
      <c r="B28" s="15"/>
      <c r="C28" s="15"/>
      <c r="D28" s="10"/>
      <c r="E28" s="20"/>
      <c r="O28" s="2"/>
      <c r="P28"/>
      <c r="Q28"/>
      <c r="R28"/>
    </row>
    <row r="29" spans="2:18" x14ac:dyDescent="0.35">
      <c r="B29" s="15"/>
      <c r="C29" s="15"/>
      <c r="D29" s="10"/>
      <c r="E29" s="20"/>
      <c r="O29" s="2"/>
      <c r="P29"/>
      <c r="Q29"/>
      <c r="R29"/>
    </row>
    <row r="30" spans="2:18" x14ac:dyDescent="0.35">
      <c r="B30" s="15"/>
      <c r="C30" s="15"/>
      <c r="D30" s="10"/>
      <c r="E30" s="20"/>
      <c r="O30" s="2"/>
      <c r="P30"/>
      <c r="Q30"/>
      <c r="R30"/>
    </row>
    <row r="31" spans="2:18" x14ac:dyDescent="0.35">
      <c r="B31" s="15"/>
      <c r="C31" s="15"/>
      <c r="D31" s="10"/>
      <c r="E31" s="20"/>
      <c r="O31" s="2"/>
      <c r="P31"/>
      <c r="Q31"/>
      <c r="R31"/>
    </row>
    <row r="32" spans="2:18" x14ac:dyDescent="0.35">
      <c r="B32" s="15"/>
      <c r="C32" s="15"/>
      <c r="D32" s="10"/>
      <c r="E32" s="20"/>
      <c r="O32" s="2"/>
      <c r="P32"/>
      <c r="Q32"/>
      <c r="R32"/>
    </row>
    <row r="33" spans="2:18" x14ac:dyDescent="0.35">
      <c r="B33" s="15"/>
      <c r="C33" s="15"/>
      <c r="D33" s="10"/>
      <c r="E33" s="20"/>
      <c r="O33" s="2"/>
      <c r="P33"/>
      <c r="Q33"/>
      <c r="R33"/>
    </row>
    <row r="34" spans="2:18" x14ac:dyDescent="0.35">
      <c r="B34" s="15"/>
      <c r="C34" s="15"/>
      <c r="D34" s="10"/>
      <c r="E34" s="20"/>
      <c r="O34" s="2"/>
      <c r="P34"/>
      <c r="Q34"/>
      <c r="R34"/>
    </row>
    <row r="35" spans="2:18" x14ac:dyDescent="0.35">
      <c r="B35" s="15"/>
      <c r="C35" s="15"/>
      <c r="D35" s="10"/>
      <c r="E35" s="20"/>
      <c r="O35" s="2"/>
      <c r="P35"/>
      <c r="Q35"/>
      <c r="R35"/>
    </row>
    <row r="36" spans="2:18" x14ac:dyDescent="0.35">
      <c r="B36" s="15"/>
      <c r="C36" s="15"/>
      <c r="D36" s="10"/>
      <c r="E36" s="20"/>
      <c r="O36" s="2"/>
      <c r="P36"/>
      <c r="Q36"/>
      <c r="R36"/>
    </row>
    <row r="37" spans="2:18" x14ac:dyDescent="0.35">
      <c r="B37" s="15"/>
      <c r="C37" s="15"/>
      <c r="D37" s="10"/>
      <c r="E37" s="20"/>
      <c r="O37" s="2"/>
      <c r="P37"/>
      <c r="Q37"/>
      <c r="R37"/>
    </row>
    <row r="38" spans="2:18" x14ac:dyDescent="0.35">
      <c r="B38" s="15"/>
      <c r="C38" s="15"/>
      <c r="D38" s="10"/>
      <c r="E38" s="20"/>
      <c r="O38" s="2"/>
      <c r="P38"/>
      <c r="Q38"/>
      <c r="R38"/>
    </row>
    <row r="39" spans="2:18" x14ac:dyDescent="0.35">
      <c r="B39" s="15"/>
      <c r="C39" s="15"/>
      <c r="D39" s="10"/>
      <c r="E39" s="20"/>
      <c r="O39" s="2"/>
      <c r="P39"/>
      <c r="Q39"/>
      <c r="R39"/>
    </row>
    <row r="40" spans="2:18" x14ac:dyDescent="0.35">
      <c r="B40" s="15"/>
      <c r="C40" s="15"/>
      <c r="D40" s="10"/>
      <c r="E40" s="20"/>
      <c r="O40" s="2"/>
      <c r="P40"/>
      <c r="Q40"/>
      <c r="R40"/>
    </row>
    <row r="41" spans="2:18" x14ac:dyDescent="0.35">
      <c r="B41" s="15"/>
      <c r="C41" s="15"/>
      <c r="D41" s="10"/>
      <c r="E41" s="20"/>
      <c r="O41" s="2"/>
      <c r="P41"/>
      <c r="Q41"/>
      <c r="R41"/>
    </row>
    <row r="42" spans="2:18" x14ac:dyDescent="0.35">
      <c r="B42" s="15"/>
      <c r="C42" s="15"/>
      <c r="D42" s="10"/>
      <c r="E42" s="20"/>
      <c r="O42" s="2"/>
      <c r="P42"/>
      <c r="Q42"/>
      <c r="R42"/>
    </row>
    <row r="43" spans="2:18" x14ac:dyDescent="0.35">
      <c r="B43" s="15"/>
      <c r="C43" s="15"/>
      <c r="D43" s="10"/>
      <c r="E43" s="20"/>
      <c r="O43" s="2"/>
      <c r="P43"/>
      <c r="Q43"/>
      <c r="R43"/>
    </row>
    <row r="44" spans="2:18" x14ac:dyDescent="0.35">
      <c r="B44" s="15"/>
      <c r="C44" s="15"/>
      <c r="D44" s="10"/>
      <c r="E44" s="20"/>
      <c r="O44" s="2"/>
      <c r="P44"/>
      <c r="Q44"/>
      <c r="R44"/>
    </row>
    <row r="45" spans="2:18" x14ac:dyDescent="0.35">
      <c r="B45" s="15"/>
      <c r="C45" s="15"/>
      <c r="D45" s="10"/>
      <c r="E45" s="20"/>
      <c r="O45" s="2"/>
      <c r="P45"/>
      <c r="Q45"/>
      <c r="R45"/>
    </row>
    <row r="46" spans="2:18" x14ac:dyDescent="0.35">
      <c r="B46" s="15"/>
      <c r="C46" s="15"/>
      <c r="D46" s="10"/>
      <c r="E46" s="20"/>
      <c r="O46" s="2"/>
      <c r="P46"/>
      <c r="Q46"/>
      <c r="R46"/>
    </row>
    <row r="47" spans="2:18" x14ac:dyDescent="0.35">
      <c r="B47" s="15"/>
      <c r="C47" s="15"/>
      <c r="D47" s="10"/>
      <c r="E47" s="20"/>
      <c r="O47" s="2"/>
      <c r="P47"/>
      <c r="Q47"/>
      <c r="R47"/>
    </row>
    <row r="48" spans="2:18" x14ac:dyDescent="0.35">
      <c r="B48" s="15"/>
      <c r="C48" s="15"/>
      <c r="D48" s="10"/>
      <c r="E48" s="20"/>
      <c r="O48" s="2"/>
      <c r="P48"/>
      <c r="Q48"/>
      <c r="R48"/>
    </row>
    <row r="49" spans="2:18" x14ac:dyDescent="0.35">
      <c r="B49" s="15"/>
      <c r="C49" s="15"/>
      <c r="D49" s="10"/>
      <c r="E49" s="20"/>
      <c r="O49" s="2"/>
      <c r="P49"/>
      <c r="Q49"/>
      <c r="R49"/>
    </row>
    <row r="50" spans="2:18" x14ac:dyDescent="0.35">
      <c r="B50" s="15"/>
      <c r="C50" s="15"/>
      <c r="D50" s="10"/>
      <c r="E50" s="20"/>
      <c r="O50" s="2"/>
      <c r="P50"/>
      <c r="Q50"/>
      <c r="R50"/>
    </row>
    <row r="51" spans="2:18" x14ac:dyDescent="0.35">
      <c r="B51" s="15"/>
      <c r="C51" s="15"/>
      <c r="D51" s="10"/>
      <c r="E51" s="20"/>
      <c r="O51" s="2"/>
      <c r="P51"/>
      <c r="Q51"/>
      <c r="R51"/>
    </row>
    <row r="52" spans="2:18" x14ac:dyDescent="0.35">
      <c r="B52" s="15"/>
      <c r="C52" s="15"/>
      <c r="D52" s="10"/>
      <c r="E52" s="20"/>
      <c r="O52" s="2"/>
      <c r="P52"/>
      <c r="Q52"/>
      <c r="R52"/>
    </row>
    <row r="53" spans="2:18" x14ac:dyDescent="0.35">
      <c r="B53" s="15"/>
      <c r="C53" s="15"/>
      <c r="D53" s="10"/>
      <c r="E53" s="20"/>
      <c r="O53" s="2"/>
      <c r="P53"/>
      <c r="Q53"/>
      <c r="R53"/>
    </row>
    <row r="54" spans="2:18" x14ac:dyDescent="0.35">
      <c r="B54" s="15"/>
      <c r="C54" s="15"/>
      <c r="D54" s="10"/>
      <c r="E54" s="20"/>
      <c r="O54" s="2"/>
      <c r="P54"/>
      <c r="Q54"/>
      <c r="R54"/>
    </row>
    <row r="55" spans="2:18" x14ac:dyDescent="0.35">
      <c r="B55" s="15"/>
      <c r="C55" s="15"/>
      <c r="D55" s="10"/>
      <c r="E55" s="20"/>
      <c r="O55" s="2"/>
      <c r="P55"/>
      <c r="Q55"/>
      <c r="R55"/>
    </row>
    <row r="56" spans="2:18" x14ac:dyDescent="0.35">
      <c r="B56" s="15"/>
      <c r="C56" s="15"/>
      <c r="D56" s="10"/>
      <c r="E56" s="20"/>
      <c r="O56" s="2"/>
      <c r="P56"/>
      <c r="Q56"/>
      <c r="R56"/>
    </row>
    <row r="57" spans="2:18" x14ac:dyDescent="0.35">
      <c r="B57" s="15"/>
      <c r="C57" s="15"/>
      <c r="D57" s="10"/>
      <c r="E57" s="20"/>
      <c r="O57" s="2"/>
      <c r="P57"/>
      <c r="Q57"/>
      <c r="R57"/>
    </row>
    <row r="58" spans="2:18" x14ac:dyDescent="0.35">
      <c r="B58" s="15"/>
      <c r="C58" s="15"/>
      <c r="D58" s="10"/>
      <c r="E58" s="20"/>
      <c r="O58" s="2"/>
      <c r="P58"/>
      <c r="Q58"/>
      <c r="R58"/>
    </row>
    <row r="59" spans="2:18" x14ac:dyDescent="0.35">
      <c r="B59" s="15"/>
      <c r="C59" s="15"/>
      <c r="D59" s="10"/>
      <c r="E59" s="20"/>
      <c r="O59" s="2"/>
      <c r="P59"/>
      <c r="Q59"/>
      <c r="R59"/>
    </row>
    <row r="60" spans="2:18" x14ac:dyDescent="0.35">
      <c r="B60" s="15"/>
      <c r="C60" s="15"/>
      <c r="D60" s="10"/>
      <c r="E60" s="20"/>
      <c r="O60" s="2"/>
      <c r="P60"/>
      <c r="Q60"/>
      <c r="R60"/>
    </row>
    <row r="61" spans="2:18" x14ac:dyDescent="0.35">
      <c r="B61" s="15"/>
      <c r="C61" s="15"/>
      <c r="D61" s="10"/>
      <c r="E61" s="20"/>
      <c r="O61" s="2"/>
      <c r="P61"/>
      <c r="Q61"/>
      <c r="R61"/>
    </row>
    <row r="62" spans="2:18" x14ac:dyDescent="0.35">
      <c r="B62" s="15"/>
      <c r="C62" s="15"/>
      <c r="D62" s="10"/>
      <c r="E62" s="20"/>
      <c r="O62" s="2"/>
      <c r="P62"/>
      <c r="Q62"/>
      <c r="R62"/>
    </row>
    <row r="63" spans="2:18" x14ac:dyDescent="0.35">
      <c r="B63" s="15"/>
      <c r="C63" s="15"/>
      <c r="D63" s="10"/>
      <c r="E63" s="20"/>
      <c r="O63" s="2"/>
      <c r="P63"/>
      <c r="Q63"/>
      <c r="R63"/>
    </row>
    <row r="64" spans="2:18" x14ac:dyDescent="0.35">
      <c r="B64" s="15"/>
      <c r="C64" s="15"/>
      <c r="D64" s="10"/>
      <c r="E64" s="20"/>
      <c r="O64" s="2"/>
      <c r="P64"/>
      <c r="Q64"/>
      <c r="R64"/>
    </row>
    <row r="65" spans="2:18" x14ac:dyDescent="0.35">
      <c r="B65" s="15"/>
      <c r="C65" s="15"/>
      <c r="D65" s="10"/>
      <c r="E65" s="20"/>
      <c r="O65" s="2"/>
      <c r="P65"/>
      <c r="Q65"/>
      <c r="R65"/>
    </row>
    <row r="66" spans="2:18" x14ac:dyDescent="0.35">
      <c r="B66" s="15"/>
      <c r="C66" s="15"/>
      <c r="D66" s="10"/>
      <c r="E66" s="20"/>
      <c r="O66" s="2"/>
      <c r="P66"/>
      <c r="Q66"/>
      <c r="R66"/>
    </row>
    <row r="67" spans="2:18" x14ac:dyDescent="0.35">
      <c r="B67" s="15"/>
      <c r="C67" s="15"/>
      <c r="D67" s="10"/>
      <c r="E67" s="20"/>
      <c r="O67" s="2"/>
      <c r="P67"/>
      <c r="Q67"/>
      <c r="R67"/>
    </row>
    <row r="68" spans="2:18" x14ac:dyDescent="0.35">
      <c r="B68" s="15"/>
      <c r="C68" s="15"/>
      <c r="D68" s="10"/>
      <c r="E68" s="20"/>
      <c r="O68" s="2"/>
      <c r="P68"/>
      <c r="Q68"/>
      <c r="R68"/>
    </row>
    <row r="69" spans="2:18" x14ac:dyDescent="0.35">
      <c r="B69" s="15"/>
      <c r="C69" s="15"/>
      <c r="D69" s="10"/>
      <c r="E69" s="20"/>
      <c r="O69" s="2"/>
      <c r="P69"/>
      <c r="Q69"/>
      <c r="R69"/>
    </row>
    <row r="70" spans="2:18" x14ac:dyDescent="0.35">
      <c r="B70" s="15"/>
      <c r="C70" s="15"/>
      <c r="D70" s="10"/>
      <c r="E70" s="20"/>
      <c r="O70" s="2"/>
      <c r="P70"/>
      <c r="Q70"/>
      <c r="R70"/>
    </row>
    <row r="71" spans="2:18" x14ac:dyDescent="0.35">
      <c r="B71" s="15"/>
      <c r="C71" s="15"/>
      <c r="D71" s="10"/>
      <c r="E71" s="20"/>
      <c r="O71" s="2"/>
      <c r="P71"/>
      <c r="Q71"/>
      <c r="R71"/>
    </row>
    <row r="72" spans="2:18" x14ac:dyDescent="0.35">
      <c r="B72" s="15"/>
      <c r="C72" s="15"/>
      <c r="D72" s="10"/>
      <c r="E72" s="20"/>
      <c r="O72" s="2"/>
      <c r="P72"/>
      <c r="Q72"/>
      <c r="R72"/>
    </row>
    <row r="73" spans="2:18" x14ac:dyDescent="0.35">
      <c r="B73" s="15"/>
      <c r="C73" s="15"/>
      <c r="D73" s="10"/>
      <c r="E73" s="20"/>
      <c r="O73" s="2"/>
      <c r="P73"/>
      <c r="Q73"/>
      <c r="R73"/>
    </row>
    <row r="74" spans="2:18" x14ac:dyDescent="0.35">
      <c r="B74" s="15"/>
      <c r="C74" s="15"/>
      <c r="D74" s="10"/>
      <c r="E74" s="20"/>
      <c r="O74" s="2"/>
      <c r="P74"/>
      <c r="Q74"/>
      <c r="R74"/>
    </row>
    <row r="75" spans="2:18" x14ac:dyDescent="0.35">
      <c r="B75" s="15"/>
      <c r="C75" s="15"/>
      <c r="D75" s="10"/>
      <c r="E75" s="20"/>
      <c r="O75" s="2"/>
      <c r="P75"/>
      <c r="Q75"/>
      <c r="R75"/>
    </row>
    <row r="76" spans="2:18" x14ac:dyDescent="0.35">
      <c r="B76" s="15"/>
      <c r="C76" s="15"/>
      <c r="D76" s="10"/>
      <c r="E76" s="20"/>
      <c r="O76" s="2"/>
      <c r="P76"/>
      <c r="Q76"/>
      <c r="R76"/>
    </row>
    <row r="77" spans="2:18" x14ac:dyDescent="0.35">
      <c r="B77" s="15"/>
      <c r="C77" s="15"/>
      <c r="D77" s="10"/>
      <c r="E77" s="20"/>
      <c r="O77" s="2"/>
      <c r="P77"/>
      <c r="Q77"/>
      <c r="R77"/>
    </row>
    <row r="78" spans="2:18" x14ac:dyDescent="0.35">
      <c r="B78" s="15"/>
      <c r="C78" s="15"/>
      <c r="D78" s="10"/>
      <c r="E78" s="20"/>
      <c r="O78" s="2"/>
      <c r="P78"/>
      <c r="Q78"/>
      <c r="R78"/>
    </row>
    <row r="79" spans="2:18" x14ac:dyDescent="0.35">
      <c r="B79" s="15"/>
      <c r="C79" s="15"/>
      <c r="D79" s="10"/>
      <c r="E79" s="20"/>
      <c r="O79" s="2"/>
      <c r="P79"/>
      <c r="Q79"/>
      <c r="R79"/>
    </row>
    <row r="80" spans="2:18" x14ac:dyDescent="0.35">
      <c r="B80" s="15"/>
      <c r="C80" s="15"/>
      <c r="D80" s="10"/>
      <c r="E80" s="20"/>
      <c r="O80" s="2"/>
      <c r="P80"/>
      <c r="Q80"/>
      <c r="R80"/>
    </row>
    <row r="81" spans="2:18" x14ac:dyDescent="0.35">
      <c r="B81" s="15"/>
      <c r="C81" s="15"/>
      <c r="D81" s="10"/>
      <c r="E81" s="20"/>
      <c r="O81" s="2"/>
      <c r="P81"/>
      <c r="Q81"/>
      <c r="R81"/>
    </row>
    <row r="82" spans="2:18" x14ac:dyDescent="0.35">
      <c r="B82" s="15"/>
      <c r="C82" s="15"/>
      <c r="D82" s="10"/>
      <c r="E82" s="20"/>
      <c r="O82" s="2"/>
      <c r="P82"/>
      <c r="Q82"/>
      <c r="R82"/>
    </row>
    <row r="83" spans="2:18" x14ac:dyDescent="0.35">
      <c r="B83" s="15"/>
      <c r="C83" s="15"/>
      <c r="D83" s="10"/>
      <c r="E83" s="20"/>
      <c r="O83" s="2"/>
      <c r="P83"/>
      <c r="Q83"/>
      <c r="R83"/>
    </row>
    <row r="84" spans="2:18" x14ac:dyDescent="0.35">
      <c r="B84" s="15"/>
      <c r="C84" s="15"/>
      <c r="D84" s="10"/>
      <c r="E84" s="20"/>
      <c r="O84" s="2"/>
      <c r="P84"/>
      <c r="Q84"/>
      <c r="R84"/>
    </row>
    <row r="85" spans="2:18" x14ac:dyDescent="0.35">
      <c r="B85" s="15"/>
      <c r="C85" s="15"/>
      <c r="D85" s="10"/>
      <c r="E85" s="20"/>
      <c r="O85" s="2"/>
      <c r="P85"/>
      <c r="Q85"/>
      <c r="R85"/>
    </row>
    <row r="86" spans="2:18" x14ac:dyDescent="0.35">
      <c r="B86" s="15"/>
      <c r="C86" s="15"/>
      <c r="D86" s="10"/>
      <c r="E86" s="20"/>
      <c r="O86" s="2"/>
      <c r="P86"/>
      <c r="Q86"/>
      <c r="R86"/>
    </row>
    <row r="87" spans="2:18" x14ac:dyDescent="0.35">
      <c r="B87" s="15"/>
      <c r="C87" s="15"/>
      <c r="D87" s="10"/>
      <c r="E87" s="20"/>
      <c r="O87" s="2"/>
      <c r="P87"/>
      <c r="Q87"/>
      <c r="R87"/>
    </row>
    <row r="88" spans="2:18" x14ac:dyDescent="0.35">
      <c r="B88" s="15"/>
      <c r="C88" s="15"/>
      <c r="D88" s="10"/>
      <c r="E88" s="20"/>
      <c r="O88" s="2"/>
      <c r="P88"/>
      <c r="Q88"/>
      <c r="R88"/>
    </row>
    <row r="89" spans="2:18" x14ac:dyDescent="0.35">
      <c r="B89" s="15"/>
      <c r="C89" s="15"/>
      <c r="D89" s="10"/>
      <c r="E89" s="20"/>
      <c r="O89" s="2"/>
      <c r="P89"/>
      <c r="Q89"/>
      <c r="R89"/>
    </row>
    <row r="90" spans="2:18" x14ac:dyDescent="0.35">
      <c r="B90" s="15"/>
      <c r="C90" s="15"/>
      <c r="D90" s="10"/>
      <c r="E90" s="20"/>
      <c r="O90" s="2"/>
      <c r="P90"/>
      <c r="Q90"/>
      <c r="R90"/>
    </row>
    <row r="91" spans="2:18" x14ac:dyDescent="0.35">
      <c r="B91" s="15"/>
      <c r="C91" s="15"/>
      <c r="D91" s="10"/>
      <c r="E91" s="20"/>
      <c r="O91" s="2"/>
      <c r="P91"/>
      <c r="Q91"/>
      <c r="R91"/>
    </row>
    <row r="92" spans="2:18" x14ac:dyDescent="0.35">
      <c r="B92" s="15"/>
      <c r="C92" s="15"/>
      <c r="D92" s="10"/>
      <c r="E92" s="20"/>
      <c r="O92" s="2"/>
      <c r="P92"/>
      <c r="Q92"/>
      <c r="R92"/>
    </row>
    <row r="93" spans="2:18" x14ac:dyDescent="0.35">
      <c r="B93" s="15"/>
      <c r="C93" s="15"/>
      <c r="D93" s="10"/>
      <c r="E93" s="20"/>
      <c r="O93" s="2"/>
      <c r="P93"/>
      <c r="Q93"/>
      <c r="R93"/>
    </row>
    <row r="94" spans="2:18" x14ac:dyDescent="0.35">
      <c r="B94" s="15"/>
      <c r="C94" s="15"/>
      <c r="D94" s="10"/>
      <c r="E94" s="20"/>
      <c r="O94" s="2"/>
      <c r="P94"/>
      <c r="Q94"/>
      <c r="R94"/>
    </row>
    <row r="95" spans="2:18" x14ac:dyDescent="0.35">
      <c r="B95" s="15"/>
      <c r="C95" s="15"/>
      <c r="D95" s="10"/>
      <c r="E95" s="20"/>
      <c r="O95" s="2"/>
      <c r="P95"/>
      <c r="Q95"/>
      <c r="R95"/>
    </row>
    <row r="96" spans="2:18" x14ac:dyDescent="0.35">
      <c r="B96" s="15"/>
      <c r="C96" s="15"/>
      <c r="D96" s="10"/>
      <c r="E96" s="20"/>
      <c r="O96" s="2"/>
      <c r="P96"/>
      <c r="Q96"/>
      <c r="R96"/>
    </row>
    <row r="97" spans="2:18" x14ac:dyDescent="0.35">
      <c r="B97" s="15"/>
      <c r="C97" s="15"/>
      <c r="D97" s="10"/>
      <c r="E97" s="20"/>
      <c r="O97" s="2"/>
      <c r="P97"/>
      <c r="Q97"/>
      <c r="R97"/>
    </row>
    <row r="98" spans="2:18" x14ac:dyDescent="0.35">
      <c r="B98" s="15"/>
      <c r="C98" s="15"/>
      <c r="D98" s="10"/>
      <c r="E98" s="20"/>
      <c r="O98" s="2"/>
      <c r="P98"/>
      <c r="Q98"/>
      <c r="R98"/>
    </row>
    <row r="99" spans="2:18" x14ac:dyDescent="0.35">
      <c r="B99" s="15"/>
      <c r="C99" s="15"/>
      <c r="D99" s="10"/>
      <c r="E99" s="20"/>
      <c r="O99" s="2"/>
      <c r="P99"/>
      <c r="Q99"/>
      <c r="R99"/>
    </row>
    <row r="100" spans="2:18" x14ac:dyDescent="0.35">
      <c r="B100" s="15"/>
      <c r="C100" s="15"/>
      <c r="D100" s="10"/>
      <c r="E100" s="20"/>
      <c r="O100" s="2"/>
      <c r="P100"/>
      <c r="Q100"/>
      <c r="R100"/>
    </row>
    <row r="101" spans="2:18" x14ac:dyDescent="0.35">
      <c r="B101" s="15"/>
      <c r="C101" s="15"/>
      <c r="D101" s="10"/>
      <c r="E101" s="20"/>
      <c r="O101" s="2"/>
      <c r="P101"/>
      <c r="Q101"/>
      <c r="R101"/>
    </row>
    <row r="102" spans="2:18" x14ac:dyDescent="0.35">
      <c r="B102" s="15"/>
      <c r="C102" s="15"/>
      <c r="D102" s="10"/>
      <c r="E102" s="20"/>
      <c r="O102" s="2"/>
      <c r="P102"/>
      <c r="Q102"/>
      <c r="R102"/>
    </row>
    <row r="103" spans="2:18" x14ac:dyDescent="0.35">
      <c r="B103" s="15"/>
      <c r="C103" s="15"/>
      <c r="D103" s="10"/>
      <c r="E103" s="20"/>
      <c r="O103" s="2"/>
      <c r="P103"/>
      <c r="Q103"/>
      <c r="R103"/>
    </row>
    <row r="104" spans="2:18" x14ac:dyDescent="0.35">
      <c r="B104" s="15"/>
      <c r="C104" s="15"/>
      <c r="D104" s="10"/>
      <c r="E104" s="20"/>
      <c r="O104" s="2"/>
      <c r="P104"/>
      <c r="Q104"/>
      <c r="R104"/>
    </row>
    <row r="105" spans="2:18" x14ac:dyDescent="0.35">
      <c r="B105" s="15"/>
      <c r="C105" s="15"/>
      <c r="D105" s="10"/>
      <c r="E105" s="20"/>
      <c r="O105" s="2"/>
      <c r="P105"/>
      <c r="Q105"/>
      <c r="R105"/>
    </row>
    <row r="106" spans="2:18" x14ac:dyDescent="0.35">
      <c r="B106" s="15"/>
      <c r="C106" s="15"/>
      <c r="D106" s="10"/>
      <c r="E106" s="20"/>
      <c r="O106" s="2"/>
      <c r="P106"/>
      <c r="Q106"/>
      <c r="R106"/>
    </row>
    <row r="107" spans="2:18" x14ac:dyDescent="0.35">
      <c r="B107" s="15"/>
      <c r="C107" s="15"/>
      <c r="D107" s="10"/>
      <c r="E107" s="20"/>
      <c r="O107" s="2"/>
      <c r="P107"/>
      <c r="Q107"/>
      <c r="R107"/>
    </row>
    <row r="108" spans="2:18" x14ac:dyDescent="0.35">
      <c r="B108" s="15"/>
      <c r="C108" s="15"/>
      <c r="D108" s="10"/>
      <c r="E108" s="20"/>
      <c r="O108" s="2"/>
      <c r="P108"/>
      <c r="Q108"/>
      <c r="R108"/>
    </row>
    <row r="109" spans="2:18" x14ac:dyDescent="0.35">
      <c r="B109" s="15"/>
      <c r="C109" s="15"/>
      <c r="D109" s="10"/>
      <c r="E109" s="20"/>
      <c r="O109" s="2"/>
      <c r="P109"/>
      <c r="Q109"/>
      <c r="R109"/>
    </row>
    <row r="110" spans="2:18" x14ac:dyDescent="0.35">
      <c r="B110" s="15"/>
      <c r="C110" s="15"/>
      <c r="D110" s="10"/>
      <c r="E110" s="20"/>
      <c r="O110" s="2"/>
      <c r="P110"/>
      <c r="Q110"/>
      <c r="R110"/>
    </row>
    <row r="111" spans="2:18" x14ac:dyDescent="0.35">
      <c r="B111" s="15"/>
      <c r="C111" s="15"/>
      <c r="D111" s="10"/>
      <c r="E111" s="20"/>
      <c r="O111" s="2"/>
      <c r="P111"/>
      <c r="Q111"/>
      <c r="R111"/>
    </row>
    <row r="112" spans="2:18" x14ac:dyDescent="0.35">
      <c r="B112" s="15"/>
      <c r="C112" s="15"/>
      <c r="D112" s="10"/>
      <c r="E112" s="20"/>
      <c r="O112" s="2"/>
      <c r="P112"/>
      <c r="Q112"/>
      <c r="R112"/>
    </row>
    <row r="113" spans="2:18" x14ac:dyDescent="0.35">
      <c r="B113" s="15"/>
      <c r="C113" s="15"/>
      <c r="D113" s="10"/>
      <c r="E113" s="20"/>
      <c r="O113" s="2"/>
      <c r="P113"/>
      <c r="Q113"/>
      <c r="R113"/>
    </row>
    <row r="114" spans="2:18" x14ac:dyDescent="0.35">
      <c r="B114" s="15"/>
      <c r="C114" s="15"/>
      <c r="D114" s="10"/>
      <c r="E114" s="20"/>
      <c r="O114" s="2"/>
      <c r="P114"/>
      <c r="Q114"/>
      <c r="R114"/>
    </row>
    <row r="115" spans="2:18" x14ac:dyDescent="0.35">
      <c r="B115" s="15"/>
      <c r="C115" s="15"/>
      <c r="D115" s="10"/>
      <c r="E115" s="20"/>
      <c r="O115" s="2"/>
      <c r="P115"/>
      <c r="Q115"/>
      <c r="R115"/>
    </row>
    <row r="116" spans="2:18" x14ac:dyDescent="0.35">
      <c r="B116" s="15"/>
      <c r="C116" s="15"/>
      <c r="D116" s="10"/>
      <c r="E116" s="20"/>
      <c r="O116" s="2"/>
      <c r="P116"/>
      <c r="Q116"/>
      <c r="R116"/>
    </row>
    <row r="117" spans="2:18" x14ac:dyDescent="0.35">
      <c r="B117" s="15"/>
      <c r="C117" s="15"/>
      <c r="D117" s="10"/>
      <c r="E117" s="20"/>
      <c r="O117" s="2"/>
      <c r="P117"/>
      <c r="Q117"/>
      <c r="R117"/>
    </row>
    <row r="118" spans="2:18" x14ac:dyDescent="0.35">
      <c r="B118" s="15"/>
      <c r="C118" s="15"/>
      <c r="D118" s="10"/>
      <c r="E118" s="20"/>
      <c r="O118" s="2"/>
      <c r="P118"/>
      <c r="Q118"/>
      <c r="R118"/>
    </row>
    <row r="119" spans="2:18" x14ac:dyDescent="0.35">
      <c r="B119" s="15"/>
      <c r="C119" s="15"/>
      <c r="D119" s="10"/>
      <c r="E119" s="20"/>
      <c r="O119" s="2"/>
      <c r="P119"/>
      <c r="Q119"/>
      <c r="R119"/>
    </row>
    <row r="120" spans="2:18" x14ac:dyDescent="0.35">
      <c r="B120" s="15"/>
      <c r="C120" s="15"/>
      <c r="D120" s="10"/>
      <c r="E120" s="20"/>
      <c r="O120" s="2"/>
      <c r="P120"/>
      <c r="Q120"/>
      <c r="R120"/>
    </row>
    <row r="121" spans="2:18" x14ac:dyDescent="0.35">
      <c r="B121" s="15"/>
      <c r="C121" s="15"/>
      <c r="D121" s="10"/>
      <c r="E121" s="20"/>
      <c r="O121" s="2"/>
      <c r="P121"/>
      <c r="Q121"/>
      <c r="R121"/>
    </row>
    <row r="122" spans="2:18" x14ac:dyDescent="0.35">
      <c r="B122" s="15"/>
      <c r="C122" s="15"/>
      <c r="D122" s="10"/>
      <c r="E122" s="20"/>
      <c r="O122" s="2"/>
      <c r="P122"/>
      <c r="Q122"/>
      <c r="R122"/>
    </row>
    <row r="123" spans="2:18" x14ac:dyDescent="0.35">
      <c r="B123" s="15"/>
      <c r="C123" s="15"/>
      <c r="D123" s="10"/>
      <c r="E123" s="20"/>
      <c r="O123" s="2"/>
      <c r="P123"/>
      <c r="Q123"/>
      <c r="R123"/>
    </row>
    <row r="124" spans="2:18" x14ac:dyDescent="0.35">
      <c r="B124" s="15"/>
      <c r="C124" s="15"/>
      <c r="D124" s="10"/>
      <c r="E124" s="20"/>
      <c r="O124" s="2"/>
      <c r="P124"/>
      <c r="Q124"/>
      <c r="R124"/>
    </row>
    <row r="125" spans="2:18" x14ac:dyDescent="0.35">
      <c r="B125" s="15"/>
      <c r="C125" s="15"/>
      <c r="D125" s="10"/>
      <c r="E125" s="20"/>
      <c r="O125" s="2"/>
      <c r="P125"/>
      <c r="Q125"/>
      <c r="R125"/>
    </row>
    <row r="126" spans="2:18" x14ac:dyDescent="0.35">
      <c r="B126" s="15"/>
      <c r="C126" s="15"/>
      <c r="D126" s="10"/>
      <c r="E126" s="20"/>
      <c r="O126" s="2"/>
      <c r="P126"/>
      <c r="Q126"/>
      <c r="R126"/>
    </row>
    <row r="127" spans="2:18" x14ac:dyDescent="0.35">
      <c r="B127" s="15"/>
      <c r="C127" s="15"/>
      <c r="D127" s="10"/>
      <c r="E127" s="20"/>
      <c r="O127" s="2"/>
      <c r="P127"/>
      <c r="Q127"/>
      <c r="R127"/>
    </row>
    <row r="128" spans="2:18" x14ac:dyDescent="0.35">
      <c r="B128" s="15"/>
      <c r="C128" s="15"/>
      <c r="D128" s="10"/>
      <c r="E128" s="20"/>
      <c r="O128" s="2"/>
      <c r="P128"/>
      <c r="Q128"/>
      <c r="R128"/>
    </row>
    <row r="129" spans="2:18" x14ac:dyDescent="0.35">
      <c r="B129" s="15"/>
      <c r="C129" s="15"/>
      <c r="D129" s="10"/>
      <c r="E129" s="20"/>
      <c r="O129" s="2"/>
      <c r="P129"/>
      <c r="Q129"/>
      <c r="R129"/>
    </row>
    <row r="130" spans="2:18" x14ac:dyDescent="0.35">
      <c r="B130" s="15"/>
      <c r="C130" s="15"/>
      <c r="D130" s="10"/>
      <c r="E130" s="20"/>
      <c r="O130" s="2"/>
      <c r="P130"/>
      <c r="Q130"/>
      <c r="R130"/>
    </row>
    <row r="131" spans="2:18" x14ac:dyDescent="0.35">
      <c r="B131" s="15"/>
      <c r="C131" s="15"/>
      <c r="D131" s="10"/>
      <c r="E131" s="20"/>
      <c r="O131" s="2"/>
      <c r="P131"/>
      <c r="Q131"/>
      <c r="R131"/>
    </row>
    <row r="132" spans="2:18" x14ac:dyDescent="0.35">
      <c r="B132" s="15"/>
      <c r="C132" s="15"/>
      <c r="D132" s="10"/>
      <c r="E132" s="20"/>
      <c r="O132" s="2"/>
      <c r="P132"/>
      <c r="Q132"/>
      <c r="R132"/>
    </row>
    <row r="133" spans="2:18" x14ac:dyDescent="0.35">
      <c r="B133" s="15"/>
      <c r="C133" s="15"/>
      <c r="D133" s="10"/>
      <c r="E133" s="20"/>
      <c r="O133" s="2"/>
      <c r="P133"/>
      <c r="Q133"/>
      <c r="R133"/>
    </row>
    <row r="134" spans="2:18" x14ac:dyDescent="0.35">
      <c r="B134" s="15"/>
      <c r="C134" s="15"/>
      <c r="D134" s="10"/>
      <c r="E134" s="20"/>
      <c r="O134" s="2"/>
      <c r="P134"/>
      <c r="Q134"/>
      <c r="R134"/>
    </row>
    <row r="135" spans="2:18" x14ac:dyDescent="0.35">
      <c r="B135" s="15"/>
      <c r="C135" s="15"/>
      <c r="D135" s="10"/>
      <c r="E135" s="20"/>
      <c r="O135" s="2"/>
      <c r="P135"/>
      <c r="Q135"/>
      <c r="R135"/>
    </row>
    <row r="136" spans="2:18" x14ac:dyDescent="0.35">
      <c r="B136" s="15"/>
      <c r="C136" s="15"/>
      <c r="D136" s="10"/>
      <c r="E136" s="20"/>
      <c r="O136" s="2"/>
      <c r="P136"/>
      <c r="Q136"/>
      <c r="R136"/>
    </row>
    <row r="137" spans="2:18" x14ac:dyDescent="0.35">
      <c r="B137" s="15"/>
      <c r="C137" s="15"/>
      <c r="D137" s="10"/>
      <c r="E137" s="20"/>
      <c r="O137" s="2"/>
      <c r="P137"/>
      <c r="Q137"/>
      <c r="R137"/>
    </row>
    <row r="138" spans="2:18" x14ac:dyDescent="0.35">
      <c r="B138" s="15"/>
      <c r="C138" s="15"/>
      <c r="D138" s="10"/>
      <c r="E138" s="20"/>
      <c r="O138" s="2"/>
      <c r="P138"/>
      <c r="Q138"/>
      <c r="R138"/>
    </row>
    <row r="139" spans="2:18" x14ac:dyDescent="0.35">
      <c r="B139" s="15"/>
      <c r="C139" s="15"/>
      <c r="D139" s="10"/>
      <c r="E139" s="20"/>
      <c r="O139" s="2"/>
      <c r="P139"/>
      <c r="Q139"/>
      <c r="R139"/>
    </row>
    <row r="140" spans="2:18" x14ac:dyDescent="0.35">
      <c r="B140" s="15"/>
      <c r="C140" s="15"/>
      <c r="D140" s="10"/>
      <c r="E140" s="20"/>
      <c r="O140" s="2"/>
      <c r="P140"/>
      <c r="Q140"/>
      <c r="R140"/>
    </row>
    <row r="141" spans="2:18" x14ac:dyDescent="0.35">
      <c r="B141" s="15"/>
      <c r="C141" s="15"/>
      <c r="D141" s="10"/>
      <c r="E141" s="20"/>
      <c r="O141" s="2"/>
      <c r="P141"/>
      <c r="Q141"/>
      <c r="R141"/>
    </row>
    <row r="142" spans="2:18" x14ac:dyDescent="0.35">
      <c r="B142" s="15"/>
      <c r="C142" s="15"/>
      <c r="D142" s="10"/>
      <c r="E142" s="20"/>
      <c r="O142" s="2"/>
      <c r="P142"/>
      <c r="Q142"/>
      <c r="R142"/>
    </row>
    <row r="143" spans="2:18" x14ac:dyDescent="0.35">
      <c r="B143" s="15"/>
      <c r="C143" s="15"/>
      <c r="D143" s="10"/>
      <c r="E143" s="20"/>
      <c r="O143" s="2"/>
      <c r="P143"/>
      <c r="Q143"/>
      <c r="R143"/>
    </row>
    <row r="144" spans="2:18" x14ac:dyDescent="0.35">
      <c r="B144" s="15"/>
      <c r="C144" s="15"/>
      <c r="D144" s="10"/>
      <c r="E144" s="20"/>
      <c r="O144" s="2"/>
      <c r="P144"/>
      <c r="Q144"/>
      <c r="R144"/>
    </row>
    <row r="145" spans="2:18" x14ac:dyDescent="0.35">
      <c r="B145" s="15"/>
      <c r="C145" s="15"/>
      <c r="D145" s="10"/>
      <c r="E145" s="20"/>
      <c r="O145" s="2"/>
      <c r="P145"/>
      <c r="Q145"/>
      <c r="R145"/>
    </row>
    <row r="146" spans="2:18" x14ac:dyDescent="0.35">
      <c r="B146" s="15"/>
      <c r="C146" s="15"/>
      <c r="D146" s="10"/>
      <c r="E146" s="20"/>
      <c r="O146" s="2"/>
      <c r="P146"/>
      <c r="Q146"/>
      <c r="R146"/>
    </row>
    <row r="147" spans="2:18" x14ac:dyDescent="0.35">
      <c r="B147" s="15"/>
      <c r="C147" s="15"/>
      <c r="D147" s="10"/>
      <c r="E147" s="20"/>
      <c r="O147" s="2"/>
      <c r="P147"/>
      <c r="Q147"/>
      <c r="R147"/>
    </row>
    <row r="148" spans="2:18" x14ac:dyDescent="0.35">
      <c r="B148" s="15"/>
      <c r="C148" s="15"/>
      <c r="D148" s="10"/>
      <c r="E148" s="20"/>
      <c r="O148" s="2"/>
      <c r="P148"/>
      <c r="Q148"/>
      <c r="R148"/>
    </row>
    <row r="149" spans="2:18" x14ac:dyDescent="0.35">
      <c r="B149" s="15"/>
      <c r="C149" s="15"/>
      <c r="D149" s="10"/>
      <c r="E149" s="20"/>
      <c r="O149" s="2"/>
      <c r="P149"/>
      <c r="Q149"/>
      <c r="R149"/>
    </row>
    <row r="150" spans="2:18" x14ac:dyDescent="0.35">
      <c r="B150" s="15"/>
      <c r="C150" s="15"/>
      <c r="D150" s="10"/>
      <c r="E150" s="20"/>
      <c r="O150" s="2"/>
      <c r="P150"/>
      <c r="Q150"/>
      <c r="R150"/>
    </row>
    <row r="151" spans="2:18" x14ac:dyDescent="0.35">
      <c r="B151" s="15"/>
      <c r="C151" s="15"/>
      <c r="D151" s="10"/>
      <c r="E151" s="20"/>
      <c r="O151" s="2"/>
      <c r="P151"/>
      <c r="Q151"/>
      <c r="R151"/>
    </row>
    <row r="152" spans="2:18" x14ac:dyDescent="0.35">
      <c r="B152" s="15"/>
      <c r="C152" s="15"/>
      <c r="D152" s="10"/>
      <c r="E152" s="20"/>
      <c r="O152" s="2"/>
      <c r="P152"/>
      <c r="Q152"/>
      <c r="R152"/>
    </row>
    <row r="153" spans="2:18" x14ac:dyDescent="0.35">
      <c r="B153" s="15"/>
      <c r="C153" s="15"/>
      <c r="D153" s="10"/>
      <c r="E153" s="20"/>
      <c r="O153" s="2"/>
      <c r="P153"/>
      <c r="Q153"/>
      <c r="R153"/>
    </row>
    <row r="154" spans="2:18" x14ac:dyDescent="0.35">
      <c r="B154" s="15"/>
      <c r="C154" s="15"/>
      <c r="D154" s="10"/>
      <c r="E154" s="20"/>
      <c r="O154" s="2"/>
      <c r="P154"/>
      <c r="Q154"/>
      <c r="R154"/>
    </row>
    <row r="155" spans="2:18" x14ac:dyDescent="0.35">
      <c r="B155" s="15"/>
      <c r="C155" s="15"/>
      <c r="D155" s="10"/>
      <c r="E155" s="20"/>
      <c r="O155" s="2"/>
      <c r="P155"/>
      <c r="Q155"/>
      <c r="R155"/>
    </row>
    <row r="156" spans="2:18" x14ac:dyDescent="0.35">
      <c r="B156" s="15"/>
      <c r="C156" s="15"/>
      <c r="D156" s="10"/>
      <c r="E156" s="20"/>
      <c r="O156" s="2"/>
      <c r="P156"/>
      <c r="Q156"/>
      <c r="R156"/>
    </row>
    <row r="157" spans="2:18" x14ac:dyDescent="0.35">
      <c r="B157" s="15"/>
      <c r="C157" s="15"/>
      <c r="D157" s="10"/>
      <c r="E157" s="20"/>
      <c r="O157" s="2"/>
      <c r="P157"/>
      <c r="Q157"/>
      <c r="R157"/>
    </row>
    <row r="158" spans="2:18" x14ac:dyDescent="0.35">
      <c r="B158" s="15"/>
      <c r="C158" s="15"/>
      <c r="D158" s="10"/>
      <c r="E158" s="20"/>
      <c r="O158" s="2"/>
      <c r="P158"/>
      <c r="Q158"/>
      <c r="R158"/>
    </row>
    <row r="159" spans="2:18" x14ac:dyDescent="0.35">
      <c r="B159" s="15"/>
      <c r="C159" s="15"/>
      <c r="D159" s="10"/>
      <c r="E159" s="20"/>
      <c r="O159" s="2"/>
      <c r="P159"/>
      <c r="Q159"/>
      <c r="R159"/>
    </row>
    <row r="160" spans="2:18" x14ac:dyDescent="0.35">
      <c r="B160" s="15"/>
      <c r="C160" s="15"/>
      <c r="D160" s="10"/>
      <c r="E160" s="20"/>
      <c r="O160" s="2"/>
      <c r="P160"/>
      <c r="Q160"/>
      <c r="R160"/>
    </row>
    <row r="161" spans="2:18" x14ac:dyDescent="0.35">
      <c r="B161" s="15"/>
      <c r="C161" s="15"/>
      <c r="D161" s="10"/>
      <c r="E161" s="20"/>
      <c r="O161" s="2"/>
      <c r="P161"/>
      <c r="Q161"/>
      <c r="R161"/>
    </row>
    <row r="162" spans="2:18" x14ac:dyDescent="0.35">
      <c r="B162" s="15"/>
      <c r="C162" s="15"/>
      <c r="D162" s="10"/>
      <c r="E162" s="20"/>
      <c r="O162" s="2"/>
      <c r="P162"/>
      <c r="Q162"/>
      <c r="R162"/>
    </row>
    <row r="163" spans="2:18" x14ac:dyDescent="0.35">
      <c r="B163" s="15"/>
      <c r="C163" s="15"/>
      <c r="D163" s="10"/>
      <c r="E163" s="20"/>
      <c r="O163" s="2"/>
      <c r="P163"/>
      <c r="Q163"/>
      <c r="R163"/>
    </row>
    <row r="164" spans="2:18" x14ac:dyDescent="0.35">
      <c r="B164" s="15"/>
      <c r="C164" s="15"/>
      <c r="D164" s="10"/>
      <c r="E164" s="20"/>
      <c r="O164" s="2"/>
      <c r="P164"/>
      <c r="Q164"/>
      <c r="R164"/>
    </row>
    <row r="165" spans="2:18" x14ac:dyDescent="0.35">
      <c r="B165" s="15"/>
      <c r="C165" s="15"/>
      <c r="D165" s="10"/>
      <c r="E165" s="20"/>
      <c r="O165" s="2"/>
      <c r="P165"/>
      <c r="Q165"/>
      <c r="R165"/>
    </row>
    <row r="166" spans="2:18" x14ac:dyDescent="0.35">
      <c r="B166" s="15"/>
      <c r="C166" s="15"/>
      <c r="D166" s="10"/>
      <c r="E166" s="20"/>
      <c r="O166" s="2"/>
      <c r="P166"/>
      <c r="Q166"/>
      <c r="R166"/>
    </row>
    <row r="167" spans="2:18" x14ac:dyDescent="0.35">
      <c r="B167" s="15"/>
      <c r="C167" s="15"/>
      <c r="D167" s="10"/>
      <c r="E167" s="20"/>
      <c r="O167" s="2"/>
      <c r="P167"/>
      <c r="Q167"/>
      <c r="R167"/>
    </row>
    <row r="168" spans="2:18" x14ac:dyDescent="0.35">
      <c r="B168" s="15"/>
      <c r="C168" s="15"/>
      <c r="D168" s="10"/>
      <c r="E168" s="20"/>
      <c r="O168" s="2"/>
      <c r="P168"/>
      <c r="Q168"/>
      <c r="R168"/>
    </row>
    <row r="169" spans="2:18" x14ac:dyDescent="0.35">
      <c r="B169" s="15"/>
      <c r="C169" s="15"/>
      <c r="D169" s="10"/>
      <c r="E169" s="20"/>
      <c r="O169" s="2"/>
      <c r="P169"/>
      <c r="Q169"/>
      <c r="R169"/>
    </row>
    <row r="170" spans="2:18" x14ac:dyDescent="0.35">
      <c r="B170" s="15"/>
      <c r="C170" s="15"/>
      <c r="D170" s="10"/>
      <c r="E170" s="20"/>
      <c r="O170" s="2"/>
      <c r="P170"/>
      <c r="Q170"/>
      <c r="R170"/>
    </row>
    <row r="171" spans="2:18" x14ac:dyDescent="0.35">
      <c r="B171" s="15"/>
      <c r="C171" s="15"/>
      <c r="D171" s="10"/>
      <c r="E171" s="20"/>
      <c r="O171" s="2"/>
      <c r="P171"/>
      <c r="Q171"/>
      <c r="R171"/>
    </row>
    <row r="172" spans="2:18" x14ac:dyDescent="0.35">
      <c r="B172" s="15"/>
      <c r="C172" s="15"/>
      <c r="D172" s="10"/>
      <c r="E172" s="20"/>
      <c r="O172" s="2"/>
      <c r="P172"/>
      <c r="Q172"/>
      <c r="R172"/>
    </row>
    <row r="173" spans="2:18" x14ac:dyDescent="0.35">
      <c r="B173" s="15"/>
      <c r="C173" s="15"/>
      <c r="D173" s="10"/>
      <c r="E173" s="20"/>
      <c r="O173" s="2"/>
      <c r="P173"/>
      <c r="Q173"/>
      <c r="R173"/>
    </row>
    <row r="174" spans="2:18" x14ac:dyDescent="0.35">
      <c r="B174" s="15"/>
      <c r="C174" s="15"/>
      <c r="D174" s="10"/>
      <c r="E174" s="20"/>
      <c r="O174" s="2"/>
      <c r="P174"/>
      <c r="Q174"/>
      <c r="R174"/>
    </row>
    <row r="175" spans="2:18" x14ac:dyDescent="0.35">
      <c r="B175" s="15"/>
      <c r="C175" s="15"/>
      <c r="D175" s="10"/>
      <c r="E175" s="20"/>
      <c r="O175" s="2"/>
      <c r="P175"/>
      <c r="Q175"/>
      <c r="R175"/>
    </row>
    <row r="176" spans="2:18" x14ac:dyDescent="0.35">
      <c r="B176" s="15"/>
      <c r="C176" s="15"/>
      <c r="D176" s="10"/>
      <c r="E176" s="20"/>
      <c r="O176" s="2"/>
      <c r="P176"/>
      <c r="Q176"/>
      <c r="R176"/>
    </row>
    <row r="177" spans="2:18" x14ac:dyDescent="0.35">
      <c r="B177" s="15"/>
      <c r="C177" s="15"/>
      <c r="D177" s="10"/>
      <c r="E177" s="20"/>
      <c r="O177" s="2"/>
      <c r="P177"/>
      <c r="Q177"/>
      <c r="R177"/>
    </row>
    <row r="178" spans="2:18" x14ac:dyDescent="0.35">
      <c r="B178" s="15"/>
      <c r="C178" s="15"/>
      <c r="D178" s="10"/>
      <c r="E178" s="20"/>
      <c r="O178" s="2"/>
      <c r="P178"/>
      <c r="Q178"/>
      <c r="R178"/>
    </row>
    <row r="179" spans="2:18" x14ac:dyDescent="0.35">
      <c r="B179" s="15"/>
      <c r="C179" s="15"/>
      <c r="D179" s="10"/>
      <c r="E179" s="20"/>
      <c r="O179" s="2"/>
      <c r="P179"/>
      <c r="Q179"/>
      <c r="R179"/>
    </row>
    <row r="180" spans="2:18" x14ac:dyDescent="0.35">
      <c r="B180" s="15"/>
      <c r="C180" s="15"/>
      <c r="D180" s="10"/>
      <c r="E180" s="20"/>
      <c r="O180" s="2"/>
      <c r="P180"/>
      <c r="Q180"/>
      <c r="R180"/>
    </row>
    <row r="181" spans="2:18" x14ac:dyDescent="0.35">
      <c r="B181" s="15"/>
      <c r="C181" s="15"/>
      <c r="D181" s="10"/>
      <c r="E181" s="20"/>
      <c r="O181" s="2"/>
      <c r="P181"/>
      <c r="Q181"/>
      <c r="R181"/>
    </row>
    <row r="182" spans="2:18" x14ac:dyDescent="0.35">
      <c r="B182" s="15"/>
      <c r="C182" s="15"/>
      <c r="D182" s="10"/>
      <c r="E182" s="20"/>
      <c r="O182" s="2"/>
      <c r="P182"/>
      <c r="Q182"/>
      <c r="R182"/>
    </row>
    <row r="183" spans="2:18" x14ac:dyDescent="0.35">
      <c r="B183" s="15"/>
      <c r="C183" s="15"/>
      <c r="D183" s="10"/>
      <c r="E183" s="20"/>
      <c r="O183" s="2"/>
      <c r="P183"/>
      <c r="Q183"/>
      <c r="R183"/>
    </row>
    <row r="184" spans="2:18" x14ac:dyDescent="0.35">
      <c r="B184" s="15"/>
      <c r="C184" s="15"/>
      <c r="D184" s="10"/>
      <c r="E184" s="20"/>
      <c r="O184" s="2"/>
      <c r="P184"/>
      <c r="Q184"/>
      <c r="R184"/>
    </row>
    <row r="185" spans="2:18" x14ac:dyDescent="0.35">
      <c r="B185" s="15"/>
      <c r="C185" s="15"/>
      <c r="D185" s="10"/>
      <c r="E185" s="20"/>
      <c r="O185" s="2"/>
      <c r="P185"/>
      <c r="Q185"/>
      <c r="R185"/>
    </row>
    <row r="186" spans="2:18" x14ac:dyDescent="0.35">
      <c r="B186" s="15"/>
      <c r="C186" s="15"/>
      <c r="D186" s="10"/>
      <c r="E186" s="20"/>
      <c r="O186" s="2"/>
      <c r="P186"/>
      <c r="Q186"/>
      <c r="R186"/>
    </row>
    <row r="187" spans="2:18" x14ac:dyDescent="0.35">
      <c r="B187" s="15"/>
      <c r="C187" s="15"/>
      <c r="D187" s="10"/>
      <c r="E187" s="20"/>
      <c r="O187" s="2"/>
      <c r="P187"/>
      <c r="Q187"/>
      <c r="R187"/>
    </row>
    <row r="188" spans="2:18" x14ac:dyDescent="0.35">
      <c r="B188" s="15"/>
      <c r="C188" s="15"/>
      <c r="D188" s="10"/>
      <c r="E188" s="20"/>
      <c r="O188" s="2"/>
      <c r="P188"/>
      <c r="Q188"/>
      <c r="R188"/>
    </row>
    <row r="189" spans="2:18" x14ac:dyDescent="0.35">
      <c r="B189" s="15"/>
      <c r="C189" s="15"/>
      <c r="D189" s="10"/>
      <c r="E189" s="20"/>
      <c r="O189" s="2"/>
      <c r="P189"/>
      <c r="Q189"/>
      <c r="R189"/>
    </row>
    <row r="190" spans="2:18" x14ac:dyDescent="0.35">
      <c r="B190" s="15"/>
      <c r="C190" s="15"/>
      <c r="D190" s="10"/>
      <c r="E190" s="20"/>
      <c r="O190" s="2"/>
      <c r="P190"/>
      <c r="Q190"/>
      <c r="R190"/>
    </row>
    <row r="191" spans="2:18" x14ac:dyDescent="0.35">
      <c r="B191" s="15"/>
      <c r="C191" s="15"/>
      <c r="D191" s="10"/>
      <c r="E191" s="20"/>
      <c r="O191" s="2"/>
      <c r="P191"/>
      <c r="Q191"/>
      <c r="R191"/>
    </row>
    <row r="192" spans="2:18" x14ac:dyDescent="0.35">
      <c r="B192" s="15"/>
      <c r="C192" s="15"/>
      <c r="D192" s="10"/>
      <c r="E192" s="20"/>
      <c r="O192" s="2"/>
      <c r="P192"/>
      <c r="Q192"/>
      <c r="R192"/>
    </row>
    <row r="193" spans="2:18" x14ac:dyDescent="0.35">
      <c r="B193" s="15"/>
      <c r="C193" s="15"/>
      <c r="D193" s="10"/>
      <c r="E193" s="20"/>
      <c r="O193" s="2"/>
      <c r="P193"/>
      <c r="Q193"/>
      <c r="R193"/>
    </row>
    <row r="194" spans="2:18" x14ac:dyDescent="0.35">
      <c r="B194" s="15"/>
      <c r="C194" s="15"/>
      <c r="D194" s="10"/>
      <c r="E194" s="20"/>
      <c r="O194" s="2"/>
      <c r="P194"/>
      <c r="Q194"/>
      <c r="R194"/>
    </row>
    <row r="195" spans="2:18" x14ac:dyDescent="0.35">
      <c r="B195" s="15"/>
      <c r="C195" s="15"/>
      <c r="D195" s="10"/>
      <c r="E195" s="20"/>
      <c r="O195" s="2"/>
      <c r="P195"/>
      <c r="Q195"/>
      <c r="R195"/>
    </row>
    <row r="196" spans="2:18" x14ac:dyDescent="0.35">
      <c r="B196" s="15"/>
      <c r="C196" s="15"/>
      <c r="D196" s="10"/>
      <c r="E196" s="20"/>
      <c r="O196" s="2"/>
      <c r="P196"/>
      <c r="Q196"/>
      <c r="R196"/>
    </row>
    <row r="197" spans="2:18" x14ac:dyDescent="0.35">
      <c r="B197" s="15"/>
      <c r="C197" s="15"/>
      <c r="D197" s="10"/>
      <c r="E197" s="20"/>
      <c r="O197" s="2"/>
      <c r="P197"/>
      <c r="Q197"/>
      <c r="R197"/>
    </row>
    <row r="198" spans="2:18" x14ac:dyDescent="0.35">
      <c r="B198" s="15"/>
      <c r="C198" s="15"/>
      <c r="D198" s="10"/>
      <c r="E198" s="20"/>
      <c r="O198" s="2"/>
      <c r="P198"/>
      <c r="Q198"/>
      <c r="R198"/>
    </row>
    <row r="199" spans="2:18" x14ac:dyDescent="0.35">
      <c r="B199" s="15"/>
      <c r="C199" s="15"/>
      <c r="D199" s="10"/>
      <c r="E199" s="20"/>
      <c r="O199" s="2"/>
      <c r="P199"/>
      <c r="Q199"/>
      <c r="R199"/>
    </row>
    <row r="200" spans="2:18" x14ac:dyDescent="0.35">
      <c r="B200" s="15"/>
      <c r="C200" s="15"/>
      <c r="D200" s="10"/>
      <c r="E200" s="20"/>
      <c r="O200" s="2"/>
      <c r="P200"/>
      <c r="Q200"/>
      <c r="R200"/>
    </row>
    <row r="201" spans="2:18" x14ac:dyDescent="0.35">
      <c r="B201" s="15"/>
      <c r="C201" s="15"/>
      <c r="D201" s="10"/>
      <c r="E201" s="20"/>
      <c r="O201" s="2"/>
      <c r="P201"/>
      <c r="Q201"/>
      <c r="R201"/>
    </row>
    <row r="202" spans="2:18" x14ac:dyDescent="0.35">
      <c r="B202" s="15"/>
      <c r="C202" s="15"/>
      <c r="D202" s="10"/>
      <c r="E202" s="20"/>
      <c r="O202" s="2"/>
      <c r="P202"/>
      <c r="Q202"/>
      <c r="R202"/>
    </row>
    <row r="203" spans="2:18" x14ac:dyDescent="0.35">
      <c r="B203" s="15"/>
      <c r="C203" s="15"/>
      <c r="D203" s="10"/>
      <c r="E203" s="20"/>
      <c r="O203" s="2"/>
      <c r="P203"/>
      <c r="Q203"/>
      <c r="R203"/>
    </row>
    <row r="204" spans="2:18" x14ac:dyDescent="0.35">
      <c r="B204" s="15"/>
      <c r="C204" s="15"/>
      <c r="D204" s="10"/>
      <c r="E204" s="20"/>
      <c r="O204" s="2"/>
      <c r="P204"/>
      <c r="Q204"/>
      <c r="R204"/>
    </row>
    <row r="205" spans="2:18" x14ac:dyDescent="0.35">
      <c r="B205" s="15"/>
      <c r="C205" s="15"/>
      <c r="D205" s="10"/>
      <c r="E205" s="20"/>
      <c r="O205" s="2"/>
      <c r="P205"/>
      <c r="Q205"/>
      <c r="R205"/>
    </row>
    <row r="206" spans="2:18" x14ac:dyDescent="0.35">
      <c r="B206" s="15"/>
      <c r="C206" s="15"/>
      <c r="D206" s="10"/>
      <c r="E206" s="20"/>
      <c r="O206" s="2"/>
      <c r="P206"/>
      <c r="Q206"/>
      <c r="R206"/>
    </row>
    <row r="207" spans="2:18" x14ac:dyDescent="0.35">
      <c r="B207" s="15"/>
      <c r="C207" s="15"/>
      <c r="D207" s="10"/>
      <c r="E207" s="20"/>
      <c r="O207" s="2"/>
      <c r="P207"/>
      <c r="Q207"/>
      <c r="R207"/>
    </row>
    <row r="208" spans="2:18" x14ac:dyDescent="0.35">
      <c r="B208" s="15"/>
      <c r="C208" s="15"/>
      <c r="D208" s="10"/>
      <c r="E208" s="20"/>
      <c r="O208" s="2"/>
      <c r="P208"/>
      <c r="Q208"/>
      <c r="R208"/>
    </row>
    <row r="209" spans="2:18" x14ac:dyDescent="0.35">
      <c r="B209" s="15"/>
      <c r="C209" s="15"/>
      <c r="D209" s="10"/>
      <c r="E209" s="20"/>
      <c r="O209" s="2"/>
      <c r="P209"/>
      <c r="Q209"/>
      <c r="R209"/>
    </row>
    <row r="210" spans="2:18" x14ac:dyDescent="0.35">
      <c r="B210" s="15"/>
      <c r="C210" s="15"/>
      <c r="D210" s="10"/>
      <c r="E210" s="20"/>
      <c r="O210" s="2"/>
      <c r="P210"/>
      <c r="Q210"/>
      <c r="R210"/>
    </row>
    <row r="211" spans="2:18" x14ac:dyDescent="0.35">
      <c r="B211" s="15"/>
      <c r="C211" s="15"/>
      <c r="D211" s="10"/>
      <c r="E211" s="20"/>
      <c r="O211" s="2"/>
      <c r="P211"/>
      <c r="Q211"/>
      <c r="R211"/>
    </row>
    <row r="212" spans="2:18" x14ac:dyDescent="0.35">
      <c r="B212" s="15"/>
      <c r="C212" s="15"/>
      <c r="D212" s="10"/>
      <c r="E212" s="20"/>
      <c r="O212" s="2"/>
      <c r="P212"/>
      <c r="Q212"/>
      <c r="R212"/>
    </row>
    <row r="213" spans="2:18" x14ac:dyDescent="0.35">
      <c r="B213" s="15"/>
      <c r="C213" s="15"/>
      <c r="D213" s="10"/>
      <c r="E213" s="20"/>
      <c r="O213" s="2"/>
      <c r="P213"/>
      <c r="Q213"/>
      <c r="R213"/>
    </row>
    <row r="214" spans="2:18" x14ac:dyDescent="0.35">
      <c r="B214" s="15"/>
      <c r="C214" s="15"/>
      <c r="D214" s="10"/>
      <c r="E214" s="20"/>
      <c r="O214" s="2"/>
      <c r="P214"/>
      <c r="Q214"/>
      <c r="R214"/>
    </row>
    <row r="215" spans="2:18" x14ac:dyDescent="0.35">
      <c r="B215" s="15"/>
      <c r="C215" s="15"/>
      <c r="D215" s="10"/>
      <c r="E215" s="20"/>
      <c r="O215" s="2"/>
      <c r="P215"/>
      <c r="Q215"/>
      <c r="R215"/>
    </row>
    <row r="216" spans="2:18" x14ac:dyDescent="0.35">
      <c r="B216" s="15"/>
      <c r="C216" s="15"/>
      <c r="D216" s="10"/>
      <c r="E216" s="20"/>
      <c r="O216" s="2"/>
      <c r="P216"/>
      <c r="Q216"/>
      <c r="R216"/>
    </row>
    <row r="217" spans="2:18" x14ac:dyDescent="0.35">
      <c r="B217" s="15"/>
      <c r="C217" s="15"/>
      <c r="D217" s="10"/>
      <c r="E217" s="20"/>
      <c r="O217" s="2"/>
      <c r="P217"/>
      <c r="Q217"/>
      <c r="R217"/>
    </row>
    <row r="218" spans="2:18" x14ac:dyDescent="0.35">
      <c r="B218" s="15"/>
      <c r="C218" s="15"/>
      <c r="D218" s="10"/>
      <c r="E218" s="20"/>
      <c r="O218" s="2"/>
      <c r="P218"/>
      <c r="Q218"/>
      <c r="R218"/>
    </row>
    <row r="219" spans="2:18" x14ac:dyDescent="0.35">
      <c r="B219" s="15"/>
      <c r="C219" s="15"/>
      <c r="D219" s="10"/>
      <c r="E219" s="20"/>
      <c r="O219" s="2"/>
      <c r="P219"/>
      <c r="Q219"/>
      <c r="R219"/>
    </row>
    <row r="220" spans="2:18" x14ac:dyDescent="0.35">
      <c r="B220" s="15"/>
      <c r="C220" s="15"/>
      <c r="D220" s="10"/>
      <c r="E220" s="20"/>
      <c r="O220" s="2"/>
      <c r="P220"/>
      <c r="Q220"/>
      <c r="R220"/>
    </row>
    <row r="221" spans="2:18" x14ac:dyDescent="0.35">
      <c r="B221" s="15"/>
      <c r="C221" s="15"/>
      <c r="D221" s="10"/>
      <c r="E221" s="20"/>
      <c r="O221" s="2"/>
      <c r="P221"/>
      <c r="Q221"/>
      <c r="R221"/>
    </row>
    <row r="222" spans="2:18" x14ac:dyDescent="0.35">
      <c r="B222" s="15"/>
      <c r="C222" s="15"/>
      <c r="D222" s="10"/>
      <c r="E222" s="20"/>
      <c r="O222" s="2"/>
      <c r="P222"/>
      <c r="Q222"/>
      <c r="R222"/>
    </row>
    <row r="223" spans="2:18" x14ac:dyDescent="0.35">
      <c r="B223" s="15"/>
      <c r="C223" s="15"/>
      <c r="D223" s="10"/>
      <c r="E223" s="20"/>
      <c r="O223" s="2"/>
      <c r="P223"/>
      <c r="Q223"/>
      <c r="R223"/>
    </row>
    <row r="224" spans="2:18" x14ac:dyDescent="0.35">
      <c r="B224" s="15"/>
      <c r="C224" s="15"/>
      <c r="D224" s="10"/>
      <c r="E224" s="20"/>
      <c r="O224" s="2"/>
      <c r="P224"/>
      <c r="Q224"/>
      <c r="R224"/>
    </row>
    <row r="225" spans="2:18" x14ac:dyDescent="0.35">
      <c r="B225" s="15"/>
      <c r="C225" s="15"/>
      <c r="D225" s="10"/>
      <c r="E225" s="20"/>
      <c r="O225" s="2"/>
      <c r="P225"/>
      <c r="Q225"/>
      <c r="R225"/>
    </row>
    <row r="226" spans="2:18" x14ac:dyDescent="0.35">
      <c r="B226" s="15"/>
      <c r="C226" s="15"/>
      <c r="D226" s="10"/>
      <c r="E226" s="20"/>
      <c r="O226" s="2"/>
      <c r="P226"/>
      <c r="Q226"/>
      <c r="R226"/>
    </row>
    <row r="227" spans="2:18" x14ac:dyDescent="0.35">
      <c r="B227" s="15"/>
      <c r="C227" s="15"/>
      <c r="D227" s="10"/>
      <c r="E227" s="20"/>
      <c r="O227" s="2"/>
      <c r="P227"/>
      <c r="Q227"/>
      <c r="R227"/>
    </row>
    <row r="228" spans="2:18" x14ac:dyDescent="0.35">
      <c r="B228" s="15"/>
      <c r="C228" s="15"/>
      <c r="D228" s="10"/>
      <c r="E228" s="20"/>
      <c r="O228" s="2"/>
      <c r="P228"/>
      <c r="Q228"/>
      <c r="R228"/>
    </row>
    <row r="229" spans="2:18" x14ac:dyDescent="0.35">
      <c r="B229" s="15"/>
      <c r="C229" s="15"/>
      <c r="D229" s="10"/>
      <c r="E229" s="20"/>
      <c r="O229" s="2"/>
      <c r="P229"/>
      <c r="Q229"/>
      <c r="R229"/>
    </row>
    <row r="230" spans="2:18" x14ac:dyDescent="0.35">
      <c r="B230" s="15"/>
      <c r="C230" s="15"/>
      <c r="D230" s="10"/>
      <c r="E230" s="20"/>
      <c r="O230" s="2"/>
      <c r="P230"/>
      <c r="Q230"/>
      <c r="R230"/>
    </row>
    <row r="231" spans="2:18" x14ac:dyDescent="0.35">
      <c r="B231" s="15"/>
      <c r="C231" s="15"/>
      <c r="D231" s="10"/>
      <c r="E231" s="20"/>
      <c r="O231" s="2"/>
      <c r="P231"/>
      <c r="Q231"/>
      <c r="R231"/>
    </row>
    <row r="232" spans="2:18" x14ac:dyDescent="0.35">
      <c r="B232" s="15"/>
      <c r="C232" s="15"/>
      <c r="D232" s="10"/>
      <c r="E232" s="20"/>
      <c r="O232" s="2"/>
      <c r="P232"/>
      <c r="Q232"/>
      <c r="R232"/>
    </row>
    <row r="233" spans="2:18" x14ac:dyDescent="0.35">
      <c r="B233" s="15"/>
      <c r="C233" s="15"/>
      <c r="D233" s="10"/>
      <c r="E233" s="20"/>
      <c r="O233" s="2"/>
      <c r="P233"/>
      <c r="Q233"/>
      <c r="R233"/>
    </row>
    <row r="234" spans="2:18" x14ac:dyDescent="0.35">
      <c r="B234" s="15"/>
      <c r="C234" s="15"/>
      <c r="D234" s="10"/>
      <c r="E234" s="20"/>
      <c r="O234" s="2"/>
      <c r="P234"/>
      <c r="Q234"/>
      <c r="R234"/>
    </row>
    <row r="235" spans="2:18" x14ac:dyDescent="0.35">
      <c r="B235" s="15"/>
      <c r="C235" s="15"/>
      <c r="D235" s="10"/>
      <c r="E235" s="20"/>
      <c r="O235" s="2"/>
      <c r="P235"/>
      <c r="Q235"/>
      <c r="R235"/>
    </row>
    <row r="236" spans="2:18" x14ac:dyDescent="0.35">
      <c r="B236" s="15"/>
      <c r="C236" s="15"/>
      <c r="D236" s="10"/>
      <c r="E236" s="20"/>
      <c r="O236" s="2"/>
      <c r="P236"/>
      <c r="Q236"/>
      <c r="R236"/>
    </row>
    <row r="237" spans="2:18" x14ac:dyDescent="0.35">
      <c r="B237" s="15"/>
      <c r="C237" s="15"/>
      <c r="D237" s="10"/>
      <c r="E237" s="20"/>
      <c r="O237" s="2"/>
      <c r="P237"/>
      <c r="Q237"/>
      <c r="R237"/>
    </row>
    <row r="238" spans="2:18" x14ac:dyDescent="0.35">
      <c r="B238" s="15"/>
      <c r="C238" s="15"/>
      <c r="D238" s="10"/>
      <c r="E238" s="20"/>
      <c r="O238" s="2"/>
      <c r="P238"/>
      <c r="Q238"/>
      <c r="R238"/>
    </row>
    <row r="239" spans="2:18" x14ac:dyDescent="0.35">
      <c r="B239" s="15"/>
      <c r="C239" s="15"/>
      <c r="D239" s="10"/>
      <c r="E239" s="20"/>
      <c r="O239" s="2"/>
      <c r="P239"/>
      <c r="Q239"/>
      <c r="R239"/>
    </row>
    <row r="240" spans="2:18" x14ac:dyDescent="0.35">
      <c r="B240" s="15"/>
      <c r="C240" s="15"/>
      <c r="D240" s="10"/>
      <c r="E240" s="20"/>
      <c r="O240" s="2"/>
      <c r="P240"/>
      <c r="Q240"/>
      <c r="R240"/>
    </row>
    <row r="241" spans="2:18" x14ac:dyDescent="0.35">
      <c r="B241" s="15"/>
      <c r="C241" s="15"/>
      <c r="D241" s="10"/>
      <c r="E241" s="20"/>
      <c r="O241" s="2"/>
      <c r="P241"/>
      <c r="Q241"/>
      <c r="R241"/>
    </row>
    <row r="242" spans="2:18" x14ac:dyDescent="0.35">
      <c r="B242" s="15"/>
      <c r="C242" s="15"/>
      <c r="D242" s="10"/>
      <c r="E242" s="20"/>
      <c r="O242" s="2"/>
      <c r="P242"/>
      <c r="Q242"/>
      <c r="R242"/>
    </row>
    <row r="243" spans="2:18" x14ac:dyDescent="0.35">
      <c r="B243" s="15"/>
      <c r="C243" s="15"/>
      <c r="D243" s="10"/>
      <c r="E243" s="20"/>
      <c r="O243" s="2"/>
      <c r="P243"/>
      <c r="Q243"/>
      <c r="R243"/>
    </row>
    <row r="244" spans="2:18" x14ac:dyDescent="0.35">
      <c r="B244" s="15"/>
      <c r="C244" s="15"/>
      <c r="D244" s="10"/>
      <c r="E244" s="20"/>
      <c r="O244" s="2"/>
      <c r="P244"/>
      <c r="Q244"/>
      <c r="R244"/>
    </row>
    <row r="245" spans="2:18" x14ac:dyDescent="0.35">
      <c r="B245" s="15"/>
      <c r="C245" s="15"/>
      <c r="D245" s="10"/>
      <c r="E245" s="20"/>
      <c r="O245" s="2"/>
      <c r="P245"/>
      <c r="Q245"/>
      <c r="R245"/>
    </row>
    <row r="246" spans="2:18" x14ac:dyDescent="0.35">
      <c r="B246" s="15"/>
      <c r="C246" s="15"/>
      <c r="D246" s="10"/>
      <c r="E246" s="20"/>
      <c r="O246" s="2"/>
      <c r="P246"/>
      <c r="Q246"/>
      <c r="R246"/>
    </row>
    <row r="247" spans="2:18" x14ac:dyDescent="0.35">
      <c r="B247" s="15"/>
      <c r="C247" s="15"/>
      <c r="D247" s="10"/>
      <c r="E247" s="20"/>
      <c r="O247" s="2"/>
      <c r="P247"/>
      <c r="Q247"/>
      <c r="R247"/>
    </row>
    <row r="248" spans="2:18" x14ac:dyDescent="0.35">
      <c r="B248" s="15"/>
      <c r="C248" s="15"/>
      <c r="D248" s="10"/>
      <c r="E248" s="20"/>
      <c r="O248" s="2"/>
      <c r="P248"/>
      <c r="Q248"/>
      <c r="R248"/>
    </row>
    <row r="249" spans="2:18" x14ac:dyDescent="0.35">
      <c r="B249" s="15"/>
      <c r="C249" s="15"/>
      <c r="D249" s="10"/>
      <c r="E249" s="20"/>
      <c r="O249" s="2"/>
      <c r="P249"/>
      <c r="Q249"/>
      <c r="R249"/>
    </row>
    <row r="250" spans="2:18" x14ac:dyDescent="0.35">
      <c r="B250" s="15"/>
      <c r="C250" s="15"/>
      <c r="D250" s="10"/>
      <c r="E250" s="20"/>
      <c r="O250" s="2"/>
      <c r="P250"/>
      <c r="Q250"/>
      <c r="R250"/>
    </row>
    <row r="251" spans="2:18" x14ac:dyDescent="0.35">
      <c r="B251" s="15"/>
      <c r="C251" s="15"/>
      <c r="D251" s="10"/>
      <c r="E251" s="20"/>
      <c r="O251" s="2"/>
      <c r="P251"/>
      <c r="Q251"/>
      <c r="R251"/>
    </row>
    <row r="252" spans="2:18" x14ac:dyDescent="0.35">
      <c r="B252" s="15"/>
      <c r="C252" s="15"/>
      <c r="D252" s="10"/>
      <c r="E252" s="20"/>
      <c r="O252" s="2"/>
      <c r="P252"/>
      <c r="Q252"/>
      <c r="R252"/>
    </row>
    <row r="253" spans="2:18" x14ac:dyDescent="0.35">
      <c r="B253" s="15"/>
      <c r="C253" s="15"/>
      <c r="D253" s="10"/>
      <c r="E253" s="20"/>
      <c r="O253" s="2"/>
      <c r="P253"/>
      <c r="Q253"/>
      <c r="R253"/>
    </row>
    <row r="254" spans="2:18" x14ac:dyDescent="0.35">
      <c r="B254" s="15"/>
      <c r="C254" s="15"/>
      <c r="D254" s="10"/>
      <c r="E254" s="20"/>
      <c r="O254" s="2"/>
      <c r="P254"/>
      <c r="Q254"/>
      <c r="R254"/>
    </row>
    <row r="255" spans="2:18" x14ac:dyDescent="0.35">
      <c r="B255" s="15"/>
      <c r="C255" s="15"/>
      <c r="D255" s="10"/>
      <c r="E255" s="20"/>
      <c r="O255" s="2"/>
      <c r="P255"/>
      <c r="Q255"/>
      <c r="R255"/>
    </row>
    <row r="256" spans="2:18" x14ac:dyDescent="0.35">
      <c r="B256" s="15"/>
      <c r="C256" s="15"/>
      <c r="D256" s="10"/>
      <c r="E256" s="20"/>
      <c r="O256" s="2"/>
      <c r="P256"/>
      <c r="Q256"/>
      <c r="R256"/>
    </row>
    <row r="257" spans="2:18" x14ac:dyDescent="0.35">
      <c r="B257" s="15"/>
      <c r="C257" s="15"/>
      <c r="D257" s="10"/>
      <c r="E257" s="20"/>
      <c r="O257" s="2"/>
      <c r="P257"/>
      <c r="Q257"/>
      <c r="R257"/>
    </row>
    <row r="258" spans="2:18" x14ac:dyDescent="0.35">
      <c r="B258" s="15"/>
      <c r="C258" s="15"/>
      <c r="D258" s="10"/>
      <c r="E258" s="20"/>
      <c r="O258" s="2"/>
      <c r="P258"/>
      <c r="Q258"/>
      <c r="R258"/>
    </row>
    <row r="259" spans="2:18" x14ac:dyDescent="0.35">
      <c r="B259" s="15"/>
      <c r="C259" s="15"/>
      <c r="D259" s="10"/>
      <c r="E259" s="20"/>
      <c r="O259" s="2"/>
      <c r="P259"/>
      <c r="Q259"/>
      <c r="R259"/>
    </row>
    <row r="260" spans="2:18" x14ac:dyDescent="0.35">
      <c r="B260" s="15"/>
      <c r="C260" s="15"/>
      <c r="D260" s="10"/>
      <c r="E260" s="20"/>
      <c r="O260" s="2"/>
      <c r="P260"/>
      <c r="Q260"/>
      <c r="R260"/>
    </row>
    <row r="261" spans="2:18" x14ac:dyDescent="0.35">
      <c r="B261" s="15"/>
      <c r="C261" s="15"/>
      <c r="D261" s="10"/>
      <c r="E261" s="20"/>
      <c r="O261" s="2"/>
      <c r="P261"/>
      <c r="Q261"/>
      <c r="R261"/>
    </row>
    <row r="262" spans="2:18" x14ac:dyDescent="0.35">
      <c r="B262" s="15"/>
      <c r="C262" s="15"/>
      <c r="D262" s="10"/>
      <c r="E262" s="20"/>
      <c r="O262" s="2"/>
      <c r="P262"/>
      <c r="Q262"/>
      <c r="R262"/>
    </row>
    <row r="263" spans="2:18" x14ac:dyDescent="0.35">
      <c r="B263" s="15"/>
      <c r="C263" s="15"/>
      <c r="D263" s="10"/>
      <c r="E263" s="20"/>
      <c r="O263" s="2"/>
      <c r="P263"/>
      <c r="Q263"/>
      <c r="R263"/>
    </row>
    <row r="264" spans="2:18" x14ac:dyDescent="0.35">
      <c r="B264" s="15"/>
      <c r="C264" s="15"/>
      <c r="D264" s="10"/>
      <c r="E264" s="20"/>
      <c r="O264" s="2"/>
      <c r="P264"/>
      <c r="Q264"/>
      <c r="R264"/>
    </row>
    <row r="265" spans="2:18" x14ac:dyDescent="0.35">
      <c r="B265" s="15"/>
      <c r="C265" s="15"/>
      <c r="D265" s="10"/>
      <c r="E265" s="20"/>
      <c r="O265" s="2"/>
      <c r="P265"/>
      <c r="Q265"/>
      <c r="R265"/>
    </row>
    <row r="266" spans="2:18" x14ac:dyDescent="0.35">
      <c r="B266" s="15"/>
      <c r="C266" s="15"/>
      <c r="D266" s="10"/>
      <c r="E266" s="20"/>
      <c r="O266" s="2"/>
      <c r="P266"/>
      <c r="Q266"/>
      <c r="R266"/>
    </row>
    <row r="267" spans="2:18" x14ac:dyDescent="0.35">
      <c r="B267" s="15"/>
      <c r="C267" s="15"/>
      <c r="D267" s="10"/>
      <c r="E267" s="20"/>
      <c r="O267" s="2"/>
      <c r="P267"/>
      <c r="Q267"/>
      <c r="R267"/>
    </row>
    <row r="268" spans="2:18" x14ac:dyDescent="0.35">
      <c r="B268" s="15"/>
      <c r="C268" s="15"/>
      <c r="D268" s="10"/>
      <c r="E268" s="20"/>
      <c r="O268" s="2"/>
      <c r="P268"/>
      <c r="Q268"/>
      <c r="R268"/>
    </row>
    <row r="269" spans="2:18" x14ac:dyDescent="0.35">
      <c r="B269" s="15"/>
      <c r="C269" s="15"/>
      <c r="D269" s="10"/>
      <c r="E269" s="20"/>
      <c r="O269" s="2"/>
      <c r="P269"/>
      <c r="Q269"/>
      <c r="R269"/>
    </row>
    <row r="270" spans="2:18" x14ac:dyDescent="0.35">
      <c r="B270" s="15"/>
      <c r="C270" s="15"/>
      <c r="D270" s="10"/>
      <c r="E270" s="20"/>
      <c r="O270" s="2"/>
      <c r="P270"/>
      <c r="Q270"/>
      <c r="R270"/>
    </row>
    <row r="271" spans="2:18" x14ac:dyDescent="0.35">
      <c r="B271" s="15"/>
      <c r="C271" s="15"/>
      <c r="D271" s="10"/>
      <c r="E271" s="20"/>
      <c r="O271" s="2"/>
      <c r="P271"/>
      <c r="Q271"/>
      <c r="R271"/>
    </row>
    <row r="272" spans="2:18" x14ac:dyDescent="0.35">
      <c r="B272" s="15"/>
      <c r="C272" s="15"/>
      <c r="D272" s="10"/>
      <c r="E272" s="20"/>
      <c r="O272" s="2"/>
      <c r="P272"/>
      <c r="Q272"/>
      <c r="R272"/>
    </row>
    <row r="273" spans="2:18" x14ac:dyDescent="0.35">
      <c r="B273" s="15"/>
      <c r="C273" s="15"/>
      <c r="D273" s="10"/>
      <c r="E273" s="20"/>
      <c r="O273" s="2"/>
      <c r="P273"/>
      <c r="Q273"/>
      <c r="R273"/>
    </row>
    <row r="274" spans="2:18" x14ac:dyDescent="0.35">
      <c r="B274" s="15"/>
      <c r="C274" s="15"/>
      <c r="D274" s="10"/>
      <c r="E274" s="20"/>
      <c r="O274" s="2"/>
      <c r="P274"/>
      <c r="Q274"/>
      <c r="R274"/>
    </row>
    <row r="275" spans="2:18" x14ac:dyDescent="0.35">
      <c r="B275" s="15"/>
      <c r="C275" s="15"/>
      <c r="D275" s="10"/>
      <c r="E275" s="20"/>
      <c r="O275" s="2"/>
      <c r="P275"/>
      <c r="Q275"/>
      <c r="R275"/>
    </row>
    <row r="276" spans="2:18" x14ac:dyDescent="0.35">
      <c r="B276" s="15"/>
      <c r="C276" s="15"/>
      <c r="D276" s="10"/>
      <c r="E276" s="20"/>
      <c r="O276" s="2"/>
      <c r="P276"/>
      <c r="Q276"/>
      <c r="R276"/>
    </row>
    <row r="277" spans="2:18" x14ac:dyDescent="0.35">
      <c r="B277" s="15"/>
      <c r="C277" s="15"/>
      <c r="D277" s="10"/>
      <c r="E277" s="20"/>
      <c r="O277" s="2"/>
      <c r="P277"/>
      <c r="Q277"/>
      <c r="R277"/>
    </row>
    <row r="278" spans="2:18" x14ac:dyDescent="0.35">
      <c r="B278" s="15"/>
      <c r="C278" s="15"/>
      <c r="D278" s="10"/>
      <c r="E278" s="20"/>
      <c r="O278" s="2"/>
      <c r="P278"/>
      <c r="Q278"/>
      <c r="R278"/>
    </row>
    <row r="279" spans="2:18" x14ac:dyDescent="0.35">
      <c r="B279" s="15"/>
      <c r="C279" s="15"/>
      <c r="D279" s="10"/>
      <c r="E279" s="20"/>
      <c r="O279" s="2"/>
      <c r="P279"/>
      <c r="Q279"/>
      <c r="R279"/>
    </row>
    <row r="280" spans="2:18" x14ac:dyDescent="0.35">
      <c r="B280" s="15"/>
      <c r="C280" s="15"/>
      <c r="D280" s="10"/>
      <c r="E280" s="20"/>
      <c r="O280" s="2"/>
      <c r="P280"/>
      <c r="Q280"/>
      <c r="R280"/>
    </row>
    <row r="281" spans="2:18" x14ac:dyDescent="0.35">
      <c r="B281" s="15"/>
      <c r="C281" s="15"/>
      <c r="D281" s="10"/>
      <c r="E281" s="20"/>
      <c r="O281" s="2"/>
      <c r="P281"/>
      <c r="Q281"/>
      <c r="R281"/>
    </row>
    <row r="282" spans="2:18" x14ac:dyDescent="0.35">
      <c r="B282" s="15"/>
      <c r="C282" s="15"/>
      <c r="D282" s="10"/>
      <c r="E282" s="20"/>
      <c r="O282" s="2"/>
      <c r="P282"/>
      <c r="Q282"/>
      <c r="R282"/>
    </row>
    <row r="283" spans="2:18" x14ac:dyDescent="0.35">
      <c r="B283" s="15"/>
      <c r="C283" s="15"/>
      <c r="D283" s="10"/>
      <c r="E283" s="20"/>
      <c r="O283" s="2"/>
      <c r="P283"/>
      <c r="Q283"/>
      <c r="R283"/>
    </row>
    <row r="284" spans="2:18" x14ac:dyDescent="0.35">
      <c r="B284" s="15"/>
      <c r="C284" s="15"/>
      <c r="D284" s="10"/>
      <c r="E284" s="20"/>
      <c r="O284" s="2"/>
      <c r="P284"/>
      <c r="Q284"/>
      <c r="R284"/>
    </row>
    <row r="285" spans="2:18" x14ac:dyDescent="0.35">
      <c r="B285" s="15"/>
      <c r="C285" s="15"/>
      <c r="D285" s="10"/>
      <c r="E285" s="20"/>
      <c r="O285" s="2"/>
      <c r="P285"/>
      <c r="Q285"/>
      <c r="R285"/>
    </row>
    <row r="286" spans="2:18" x14ac:dyDescent="0.35">
      <c r="B286" s="15"/>
      <c r="C286" s="15"/>
      <c r="D286" s="10"/>
      <c r="E286" s="20"/>
      <c r="O286" s="2"/>
      <c r="P286"/>
      <c r="Q286"/>
      <c r="R286"/>
    </row>
    <row r="287" spans="2:18" x14ac:dyDescent="0.35">
      <c r="B287" s="15"/>
      <c r="C287" s="15"/>
      <c r="D287" s="10"/>
      <c r="E287" s="20"/>
      <c r="O287" s="2"/>
      <c r="P287"/>
      <c r="Q287"/>
      <c r="R287"/>
    </row>
    <row r="288" spans="2:18" x14ac:dyDescent="0.35">
      <c r="B288" s="15"/>
      <c r="C288" s="15"/>
      <c r="D288" s="10"/>
      <c r="E288" s="20"/>
      <c r="O288" s="2"/>
      <c r="P288"/>
      <c r="Q288"/>
      <c r="R288"/>
    </row>
    <row r="289" spans="2:18" x14ac:dyDescent="0.35">
      <c r="B289" s="15"/>
      <c r="C289" s="15"/>
      <c r="D289" s="10"/>
      <c r="E289" s="20"/>
      <c r="O289" s="2"/>
      <c r="P289"/>
      <c r="Q289"/>
      <c r="R289"/>
    </row>
    <row r="290" spans="2:18" x14ac:dyDescent="0.35">
      <c r="B290" s="15"/>
      <c r="C290" s="15"/>
      <c r="D290" s="10"/>
      <c r="E290" s="20"/>
      <c r="O290" s="2"/>
      <c r="P290"/>
      <c r="Q290"/>
      <c r="R290"/>
    </row>
    <row r="291" spans="2:18" x14ac:dyDescent="0.35">
      <c r="B291" s="15"/>
      <c r="C291" s="15"/>
      <c r="D291" s="10"/>
      <c r="E291" s="20"/>
      <c r="O291" s="2"/>
      <c r="P291"/>
      <c r="Q291"/>
      <c r="R291"/>
    </row>
    <row r="292" spans="2:18" x14ac:dyDescent="0.35">
      <c r="B292" s="15"/>
      <c r="C292" s="15"/>
      <c r="D292" s="10"/>
      <c r="E292" s="20"/>
      <c r="O292" s="2"/>
      <c r="P292"/>
      <c r="Q292"/>
      <c r="R292"/>
    </row>
    <row r="293" spans="2:18" x14ac:dyDescent="0.35">
      <c r="B293" s="15"/>
      <c r="C293" s="15"/>
      <c r="D293" s="10"/>
      <c r="E293" s="20"/>
      <c r="O293" s="2"/>
      <c r="P293"/>
      <c r="Q293"/>
      <c r="R293"/>
    </row>
    <row r="294" spans="2:18" x14ac:dyDescent="0.35">
      <c r="B294" s="15"/>
      <c r="C294" s="15"/>
      <c r="D294" s="10"/>
      <c r="E294" s="20"/>
      <c r="O294" s="2"/>
      <c r="P294"/>
      <c r="Q294"/>
      <c r="R294"/>
    </row>
    <row r="295" spans="2:18" x14ac:dyDescent="0.35">
      <c r="B295" s="15"/>
      <c r="C295" s="15"/>
      <c r="D295" s="10"/>
      <c r="E295" s="20"/>
      <c r="O295" s="2"/>
      <c r="P295"/>
      <c r="Q295"/>
      <c r="R295"/>
    </row>
    <row r="296" spans="2:18" x14ac:dyDescent="0.35">
      <c r="B296" s="15"/>
      <c r="C296" s="15"/>
      <c r="D296" s="10"/>
      <c r="E296" s="20"/>
      <c r="O296" s="2"/>
      <c r="P296"/>
      <c r="Q296"/>
      <c r="R296"/>
    </row>
    <row r="297" spans="2:18" x14ac:dyDescent="0.35">
      <c r="B297" s="15"/>
      <c r="C297" s="15"/>
      <c r="D297" s="10"/>
      <c r="E297" s="20"/>
      <c r="O297" s="2"/>
      <c r="P297"/>
      <c r="Q297"/>
      <c r="R297"/>
    </row>
    <row r="298" spans="2:18" x14ac:dyDescent="0.35">
      <c r="B298" s="15"/>
      <c r="C298" s="15"/>
      <c r="D298" s="10"/>
      <c r="E298" s="20"/>
      <c r="O298" s="2"/>
      <c r="P298"/>
      <c r="Q298"/>
      <c r="R298"/>
    </row>
    <row r="299" spans="2:18" x14ac:dyDescent="0.35">
      <c r="B299" s="15"/>
      <c r="C299" s="15"/>
      <c r="D299" s="10"/>
      <c r="E299" s="20"/>
      <c r="O299" s="2"/>
      <c r="P299"/>
      <c r="Q299"/>
      <c r="R299"/>
    </row>
    <row r="300" spans="2:18" x14ac:dyDescent="0.35">
      <c r="B300" s="15"/>
      <c r="C300" s="15"/>
      <c r="D300" s="10"/>
      <c r="E300" s="20"/>
      <c r="O300" s="2"/>
      <c r="P300"/>
      <c r="Q300"/>
      <c r="R300"/>
    </row>
    <row r="301" spans="2:18" x14ac:dyDescent="0.35">
      <c r="B301" s="15"/>
      <c r="C301" s="15"/>
      <c r="D301" s="10"/>
      <c r="E301" s="20"/>
      <c r="O301" s="2"/>
      <c r="P301"/>
      <c r="Q301"/>
      <c r="R301"/>
    </row>
    <row r="302" spans="2:18" x14ac:dyDescent="0.35">
      <c r="B302" s="15"/>
      <c r="C302" s="15"/>
      <c r="D302" s="10"/>
      <c r="E302" s="20"/>
      <c r="O302" s="2"/>
      <c r="P302"/>
      <c r="Q302"/>
      <c r="R302"/>
    </row>
    <row r="303" spans="2:18" x14ac:dyDescent="0.35">
      <c r="B303" s="15"/>
      <c r="C303" s="15"/>
      <c r="D303" s="10"/>
      <c r="E303" s="20"/>
      <c r="O303" s="2"/>
      <c r="P303"/>
      <c r="Q303"/>
      <c r="R303"/>
    </row>
    <row r="304" spans="2:18" x14ac:dyDescent="0.35">
      <c r="B304" s="15"/>
      <c r="C304" s="15"/>
      <c r="D304" s="10"/>
      <c r="E304" s="20"/>
      <c r="O304" s="2"/>
      <c r="P304"/>
      <c r="Q304"/>
      <c r="R304"/>
    </row>
    <row r="305" spans="2:18" x14ac:dyDescent="0.35">
      <c r="B305" s="15"/>
      <c r="C305" s="15"/>
      <c r="D305" s="10"/>
      <c r="E305" s="20"/>
      <c r="O305" s="2"/>
      <c r="P305"/>
      <c r="Q305"/>
      <c r="R305"/>
    </row>
    <row r="306" spans="2:18" x14ac:dyDescent="0.35">
      <c r="B306" s="15"/>
      <c r="C306" s="15"/>
      <c r="D306" s="10"/>
      <c r="E306" s="20"/>
      <c r="O306" s="2"/>
      <c r="P306"/>
      <c r="Q306"/>
      <c r="R306"/>
    </row>
    <row r="307" spans="2:18" x14ac:dyDescent="0.35">
      <c r="B307" s="15"/>
      <c r="C307" s="15"/>
      <c r="D307" s="10"/>
      <c r="E307" s="20"/>
      <c r="O307" s="2"/>
      <c r="P307"/>
      <c r="Q307"/>
      <c r="R307"/>
    </row>
    <row r="308" spans="2:18" x14ac:dyDescent="0.35">
      <c r="B308" s="15"/>
      <c r="C308" s="15"/>
      <c r="D308" s="10"/>
      <c r="E308" s="20"/>
      <c r="O308" s="2"/>
      <c r="P308"/>
      <c r="Q308"/>
      <c r="R308"/>
    </row>
    <row r="309" spans="2:18" x14ac:dyDescent="0.35">
      <c r="B309" s="15"/>
      <c r="C309" s="15"/>
      <c r="D309" s="10"/>
      <c r="E309" s="20"/>
      <c r="O309" s="2"/>
      <c r="P309"/>
      <c r="Q309"/>
      <c r="R309"/>
    </row>
    <row r="310" spans="2:18" x14ac:dyDescent="0.35">
      <c r="B310" s="15"/>
      <c r="C310" s="15"/>
      <c r="D310" s="10"/>
      <c r="E310" s="20"/>
      <c r="O310" s="2"/>
      <c r="P310"/>
      <c r="Q310"/>
      <c r="R310"/>
    </row>
    <row r="311" spans="2:18" x14ac:dyDescent="0.35">
      <c r="B311" s="15"/>
      <c r="C311" s="15"/>
      <c r="D311" s="10"/>
      <c r="E311" s="20"/>
      <c r="O311" s="2"/>
      <c r="P311"/>
      <c r="Q311"/>
      <c r="R311"/>
    </row>
    <row r="312" spans="2:18" x14ac:dyDescent="0.35">
      <c r="B312" s="15"/>
      <c r="C312" s="15"/>
      <c r="D312" s="10"/>
      <c r="E312" s="20"/>
      <c r="O312" s="2"/>
      <c r="P312"/>
      <c r="Q312"/>
      <c r="R312"/>
    </row>
    <row r="313" spans="2:18" x14ac:dyDescent="0.35">
      <c r="B313" s="15"/>
      <c r="C313" s="15"/>
      <c r="D313" s="10"/>
      <c r="E313" s="20"/>
      <c r="O313" s="2"/>
      <c r="P313"/>
      <c r="Q313"/>
      <c r="R313"/>
    </row>
    <row r="314" spans="2:18" x14ac:dyDescent="0.35">
      <c r="B314" s="15"/>
      <c r="C314" s="15"/>
      <c r="D314" s="10"/>
      <c r="E314" s="20"/>
      <c r="O314" s="2"/>
      <c r="P314"/>
      <c r="Q314"/>
      <c r="R314"/>
    </row>
    <row r="315" spans="2:18" x14ac:dyDescent="0.35">
      <c r="B315" s="15"/>
      <c r="C315" s="15"/>
      <c r="D315" s="10"/>
      <c r="E315" s="20"/>
      <c r="O315" s="2"/>
      <c r="P315"/>
      <c r="Q315"/>
      <c r="R315"/>
    </row>
    <row r="316" spans="2:18" x14ac:dyDescent="0.35">
      <c r="B316" s="15"/>
      <c r="C316" s="15"/>
      <c r="D316" s="10"/>
      <c r="E316" s="20"/>
      <c r="O316" s="2"/>
      <c r="P316"/>
      <c r="Q316"/>
      <c r="R316"/>
    </row>
    <row r="317" spans="2:18" x14ac:dyDescent="0.35">
      <c r="B317" s="15"/>
      <c r="C317" s="15"/>
      <c r="D317" s="10"/>
      <c r="E317" s="20"/>
      <c r="O317" s="2"/>
      <c r="P317"/>
      <c r="Q317"/>
      <c r="R317"/>
    </row>
    <row r="318" spans="2:18" x14ac:dyDescent="0.35">
      <c r="B318" s="15"/>
      <c r="C318" s="15"/>
      <c r="D318" s="10"/>
      <c r="E318" s="20"/>
      <c r="O318" s="2"/>
      <c r="P318"/>
      <c r="Q318"/>
      <c r="R318"/>
    </row>
    <row r="319" spans="2:18" x14ac:dyDescent="0.35">
      <c r="B319" s="15"/>
      <c r="C319" s="15"/>
      <c r="D319" s="10"/>
      <c r="E319" s="20"/>
      <c r="O319" s="2"/>
      <c r="P319"/>
      <c r="Q319"/>
      <c r="R319"/>
    </row>
    <row r="320" spans="2:18" x14ac:dyDescent="0.35">
      <c r="B320" s="15"/>
      <c r="C320" s="15"/>
      <c r="D320" s="10"/>
      <c r="E320" s="20"/>
      <c r="O320" s="2"/>
      <c r="P320"/>
      <c r="Q320"/>
      <c r="R320"/>
    </row>
    <row r="321" spans="2:18" x14ac:dyDescent="0.35">
      <c r="B321" s="15"/>
      <c r="C321" s="15"/>
      <c r="D321" s="10"/>
      <c r="E321" s="20"/>
      <c r="O321" s="2"/>
      <c r="P321"/>
      <c r="Q321"/>
      <c r="R321"/>
    </row>
    <row r="322" spans="2:18" x14ac:dyDescent="0.35">
      <c r="B322" s="15"/>
      <c r="C322" s="15"/>
      <c r="D322" s="10"/>
      <c r="E322" s="20"/>
      <c r="O322" s="2"/>
      <c r="P322"/>
      <c r="Q322"/>
      <c r="R322"/>
    </row>
    <row r="323" spans="2:18" x14ac:dyDescent="0.35">
      <c r="B323" s="15"/>
      <c r="C323" s="15"/>
      <c r="D323" s="10"/>
      <c r="E323" s="20"/>
      <c r="O323" s="2"/>
      <c r="P323"/>
      <c r="Q323"/>
      <c r="R323"/>
    </row>
    <row r="324" spans="2:18" x14ac:dyDescent="0.35">
      <c r="B324" s="15"/>
      <c r="C324" s="15"/>
      <c r="D324" s="10"/>
      <c r="E324" s="20"/>
      <c r="O324" s="2"/>
      <c r="P324"/>
      <c r="Q324"/>
      <c r="R324"/>
    </row>
    <row r="325" spans="2:18" x14ac:dyDescent="0.35">
      <c r="B325" s="15"/>
      <c r="C325" s="15"/>
      <c r="D325" s="10"/>
      <c r="E325" s="20"/>
      <c r="O325" s="2"/>
      <c r="P325"/>
      <c r="Q325"/>
      <c r="R325"/>
    </row>
    <row r="326" spans="2:18" x14ac:dyDescent="0.35">
      <c r="B326" s="15"/>
      <c r="C326" s="15"/>
      <c r="D326" s="10"/>
      <c r="E326" s="20"/>
      <c r="O326" s="2"/>
      <c r="P326"/>
      <c r="Q326"/>
      <c r="R326"/>
    </row>
    <row r="327" spans="2:18" x14ac:dyDescent="0.35">
      <c r="B327" s="15"/>
      <c r="C327" s="15"/>
      <c r="D327" s="10"/>
      <c r="E327" s="20"/>
      <c r="O327" s="2"/>
      <c r="P327"/>
      <c r="Q327"/>
      <c r="R327"/>
    </row>
    <row r="328" spans="2:18" x14ac:dyDescent="0.35">
      <c r="B328" s="15"/>
      <c r="C328" s="15"/>
      <c r="D328" s="10"/>
      <c r="E328" s="20"/>
      <c r="O328" s="2"/>
      <c r="P328"/>
      <c r="Q328"/>
      <c r="R328"/>
    </row>
    <row r="329" spans="2:18" x14ac:dyDescent="0.35">
      <c r="B329" s="15"/>
      <c r="C329" s="15"/>
      <c r="D329" s="10"/>
      <c r="E329" s="20"/>
      <c r="O329" s="2"/>
      <c r="P329"/>
      <c r="Q329"/>
      <c r="R329"/>
    </row>
    <row r="330" spans="2:18" x14ac:dyDescent="0.35">
      <c r="B330" s="15"/>
      <c r="C330" s="15"/>
      <c r="D330" s="10"/>
      <c r="E330" s="20"/>
      <c r="O330" s="2"/>
      <c r="P330"/>
      <c r="Q330"/>
      <c r="R330"/>
    </row>
    <row r="331" spans="2:18" x14ac:dyDescent="0.35">
      <c r="B331" s="15"/>
      <c r="C331" s="15"/>
      <c r="D331" s="10"/>
      <c r="E331" s="20"/>
      <c r="O331" s="2"/>
      <c r="P331"/>
      <c r="Q331"/>
      <c r="R331"/>
    </row>
    <row r="332" spans="2:18" x14ac:dyDescent="0.35">
      <c r="B332" s="15"/>
      <c r="C332" s="15"/>
      <c r="D332" s="10"/>
      <c r="E332" s="20"/>
      <c r="O332" s="2"/>
      <c r="P332"/>
      <c r="Q332"/>
      <c r="R332"/>
    </row>
    <row r="333" spans="2:18" x14ac:dyDescent="0.35">
      <c r="B333" s="15"/>
      <c r="C333" s="15"/>
      <c r="D333" s="10"/>
      <c r="E333" s="20"/>
      <c r="O333" s="2"/>
      <c r="P333"/>
      <c r="Q333"/>
      <c r="R333"/>
    </row>
    <row r="334" spans="2:18" x14ac:dyDescent="0.35">
      <c r="B334" s="15"/>
      <c r="C334" s="15"/>
      <c r="D334" s="10"/>
      <c r="E334" s="20"/>
      <c r="O334" s="2"/>
      <c r="P334"/>
      <c r="Q334"/>
      <c r="R334"/>
    </row>
    <row r="335" spans="2:18" x14ac:dyDescent="0.35">
      <c r="B335" s="15"/>
      <c r="C335" s="15"/>
      <c r="D335" s="10"/>
      <c r="E335" s="20"/>
      <c r="O335" s="2"/>
      <c r="P335"/>
      <c r="Q335"/>
      <c r="R335"/>
    </row>
    <row r="336" spans="2:18" x14ac:dyDescent="0.35">
      <c r="B336" s="15"/>
      <c r="C336" s="15"/>
      <c r="D336" s="10"/>
      <c r="E336" s="20"/>
      <c r="O336" s="2"/>
      <c r="P336"/>
      <c r="Q336"/>
      <c r="R336"/>
    </row>
    <row r="337" spans="2:18" x14ac:dyDescent="0.35">
      <c r="B337" s="15"/>
      <c r="C337" s="15"/>
      <c r="D337" s="10"/>
      <c r="E337" s="20"/>
      <c r="O337" s="2"/>
      <c r="P337"/>
      <c r="Q337"/>
      <c r="R337"/>
    </row>
    <row r="338" spans="2:18" x14ac:dyDescent="0.35">
      <c r="B338" s="15"/>
      <c r="C338" s="15"/>
      <c r="D338" s="10"/>
      <c r="E338" s="20"/>
      <c r="O338" s="2"/>
      <c r="P338"/>
      <c r="Q338"/>
      <c r="R338"/>
    </row>
    <row r="339" spans="2:18" x14ac:dyDescent="0.35">
      <c r="B339" s="15"/>
      <c r="C339" s="15"/>
      <c r="D339" s="10"/>
      <c r="E339" s="20"/>
      <c r="O339" s="2"/>
      <c r="P339"/>
      <c r="Q339"/>
      <c r="R339"/>
    </row>
    <row r="340" spans="2:18" x14ac:dyDescent="0.35">
      <c r="B340" s="15"/>
      <c r="C340" s="15"/>
      <c r="D340" s="10"/>
      <c r="E340" s="20"/>
      <c r="O340" s="2"/>
      <c r="P340"/>
      <c r="Q340"/>
      <c r="R340"/>
    </row>
    <row r="341" spans="2:18" x14ac:dyDescent="0.35">
      <c r="B341" s="15"/>
      <c r="C341" s="15"/>
      <c r="D341" s="10"/>
      <c r="E341" s="20"/>
      <c r="O341" s="2"/>
      <c r="P341"/>
      <c r="Q341"/>
      <c r="R341"/>
    </row>
    <row r="342" spans="2:18" x14ac:dyDescent="0.35">
      <c r="B342" s="15"/>
      <c r="C342" s="15"/>
      <c r="D342" s="10"/>
      <c r="E342" s="20"/>
      <c r="O342" s="2"/>
      <c r="P342"/>
      <c r="Q342"/>
      <c r="R342"/>
    </row>
    <row r="343" spans="2:18" x14ac:dyDescent="0.35">
      <c r="B343" s="15"/>
      <c r="C343" s="15"/>
      <c r="D343" s="10"/>
      <c r="E343" s="20"/>
      <c r="O343" s="2"/>
      <c r="P343"/>
      <c r="Q343"/>
      <c r="R343"/>
    </row>
    <row r="344" spans="2:18" x14ac:dyDescent="0.35">
      <c r="B344" s="15"/>
      <c r="C344" s="15"/>
      <c r="D344" s="10"/>
      <c r="E344" s="20"/>
      <c r="O344" s="2"/>
      <c r="P344"/>
      <c r="Q344"/>
      <c r="R344"/>
    </row>
    <row r="345" spans="2:18" x14ac:dyDescent="0.35">
      <c r="B345" s="15"/>
      <c r="C345" s="15"/>
      <c r="D345" s="10"/>
      <c r="E345" s="20"/>
      <c r="O345" s="2"/>
      <c r="P345"/>
      <c r="Q345"/>
      <c r="R345"/>
    </row>
    <row r="346" spans="2:18" x14ac:dyDescent="0.35">
      <c r="B346" s="15"/>
      <c r="C346" s="15"/>
      <c r="D346" s="10"/>
      <c r="E346" s="20"/>
      <c r="O346" s="2"/>
      <c r="P346"/>
      <c r="Q346"/>
      <c r="R346"/>
    </row>
    <row r="347" spans="2:18" x14ac:dyDescent="0.35">
      <c r="B347" s="15"/>
      <c r="C347" s="15"/>
      <c r="D347" s="10"/>
      <c r="E347" s="20"/>
      <c r="O347" s="2"/>
      <c r="P347"/>
      <c r="Q347"/>
      <c r="R347"/>
    </row>
    <row r="348" spans="2:18" x14ac:dyDescent="0.35">
      <c r="B348" s="15"/>
      <c r="C348" s="15"/>
      <c r="D348" s="10"/>
      <c r="E348" s="20"/>
      <c r="O348" s="2"/>
      <c r="P348"/>
      <c r="Q348"/>
      <c r="R348"/>
    </row>
    <row r="349" spans="2:18" x14ac:dyDescent="0.35">
      <c r="B349" s="15"/>
      <c r="C349" s="15"/>
      <c r="D349" s="10"/>
      <c r="E349" s="20"/>
      <c r="O349" s="2"/>
      <c r="P349"/>
      <c r="Q349"/>
      <c r="R349"/>
    </row>
    <row r="350" spans="2:18" x14ac:dyDescent="0.35">
      <c r="B350" s="15"/>
      <c r="C350" s="15"/>
      <c r="D350" s="10"/>
      <c r="E350" s="20"/>
      <c r="O350" s="2"/>
      <c r="P350"/>
      <c r="Q350"/>
      <c r="R350"/>
    </row>
    <row r="351" spans="2:18" x14ac:dyDescent="0.35">
      <c r="B351" s="15"/>
      <c r="C351" s="15"/>
      <c r="D351" s="10"/>
      <c r="E351" s="20"/>
      <c r="O351" s="2"/>
      <c r="P351"/>
      <c r="Q351"/>
      <c r="R351"/>
    </row>
    <row r="352" spans="2:18" x14ac:dyDescent="0.35">
      <c r="B352" s="15"/>
      <c r="C352" s="15"/>
      <c r="D352" s="10"/>
      <c r="E352" s="20"/>
      <c r="O352" s="2"/>
      <c r="P352"/>
      <c r="Q352"/>
      <c r="R352"/>
    </row>
    <row r="353" spans="2:18" x14ac:dyDescent="0.35">
      <c r="B353" s="15"/>
      <c r="C353" s="15"/>
      <c r="D353" s="10"/>
      <c r="E353" s="20"/>
      <c r="O353" s="2"/>
      <c r="P353"/>
      <c r="Q353"/>
      <c r="R353"/>
    </row>
    <row r="354" spans="2:18" x14ac:dyDescent="0.35">
      <c r="B354" s="15"/>
      <c r="C354" s="15"/>
      <c r="D354" s="10"/>
      <c r="E354" s="20"/>
      <c r="O354" s="2"/>
      <c r="P354"/>
      <c r="Q354"/>
      <c r="R354"/>
    </row>
    <row r="355" spans="2:18" x14ac:dyDescent="0.35">
      <c r="B355" s="15"/>
      <c r="C355" s="15"/>
      <c r="D355" s="10"/>
      <c r="E355" s="20"/>
      <c r="O355" s="2"/>
      <c r="P355"/>
      <c r="Q355"/>
      <c r="R355"/>
    </row>
    <row r="356" spans="2:18" x14ac:dyDescent="0.35">
      <c r="B356" s="15"/>
      <c r="C356" s="15"/>
      <c r="D356" s="10"/>
      <c r="E356" s="20"/>
      <c r="O356" s="2"/>
      <c r="P356"/>
      <c r="Q356"/>
      <c r="R356"/>
    </row>
    <row r="357" spans="2:18" x14ac:dyDescent="0.35">
      <c r="B357" s="15"/>
      <c r="C357" s="15"/>
      <c r="D357" s="10"/>
      <c r="E357" s="20"/>
      <c r="O357" s="2"/>
      <c r="P357"/>
      <c r="Q357"/>
      <c r="R357"/>
    </row>
    <row r="358" spans="2:18" x14ac:dyDescent="0.35">
      <c r="B358" s="15"/>
      <c r="C358" s="15"/>
      <c r="D358" s="10"/>
      <c r="E358" s="20"/>
      <c r="O358" s="2"/>
      <c r="P358"/>
      <c r="Q358"/>
      <c r="R358"/>
    </row>
    <row r="359" spans="2:18" x14ac:dyDescent="0.35">
      <c r="B359" s="15"/>
      <c r="C359" s="15"/>
      <c r="D359" s="10"/>
      <c r="E359" s="20"/>
      <c r="O359" s="2"/>
      <c r="P359"/>
      <c r="Q359"/>
      <c r="R359"/>
    </row>
    <row r="360" spans="2:18" x14ac:dyDescent="0.35">
      <c r="B360" s="15"/>
      <c r="C360" s="15"/>
      <c r="D360" s="10"/>
      <c r="E360" s="20"/>
      <c r="O360" s="2"/>
      <c r="P360"/>
      <c r="Q360"/>
      <c r="R360"/>
    </row>
    <row r="361" spans="2:18" x14ac:dyDescent="0.35">
      <c r="B361" s="15"/>
      <c r="C361" s="15"/>
      <c r="D361" s="10"/>
      <c r="E361" s="20"/>
      <c r="O361" s="2"/>
      <c r="P361"/>
      <c r="Q361"/>
      <c r="R361"/>
    </row>
    <row r="362" spans="2:18" x14ac:dyDescent="0.35">
      <c r="B362" s="15"/>
      <c r="C362" s="15"/>
      <c r="D362" s="10"/>
      <c r="E362" s="20"/>
      <c r="O362" s="2"/>
      <c r="P362"/>
      <c r="Q362"/>
      <c r="R362"/>
    </row>
    <row r="363" spans="2:18" x14ac:dyDescent="0.35">
      <c r="B363" s="15"/>
      <c r="C363" s="15"/>
      <c r="D363" s="10"/>
      <c r="E363" s="20"/>
      <c r="O363" s="2"/>
      <c r="P363"/>
      <c r="Q363"/>
      <c r="R363"/>
    </row>
    <row r="364" spans="2:18" x14ac:dyDescent="0.35">
      <c r="B364" s="15"/>
      <c r="C364" s="15"/>
      <c r="D364" s="10"/>
      <c r="E364" s="20"/>
      <c r="O364" s="2"/>
      <c r="P364"/>
      <c r="Q364"/>
      <c r="R364"/>
    </row>
    <row r="365" spans="2:18" x14ac:dyDescent="0.35">
      <c r="B365" s="15"/>
      <c r="C365" s="15"/>
      <c r="D365" s="10"/>
      <c r="E365" s="20"/>
      <c r="O365" s="2"/>
      <c r="P365"/>
      <c r="Q365"/>
      <c r="R365"/>
    </row>
    <row r="366" spans="2:18" x14ac:dyDescent="0.35">
      <c r="B366" s="15"/>
      <c r="C366" s="15"/>
      <c r="D366" s="10"/>
      <c r="E366" s="20"/>
      <c r="O366" s="2"/>
      <c r="P366"/>
      <c r="Q366"/>
      <c r="R366"/>
    </row>
    <row r="367" spans="2:18" x14ac:dyDescent="0.35">
      <c r="B367" s="15"/>
      <c r="C367" s="15"/>
      <c r="D367" s="10"/>
      <c r="E367" s="20"/>
      <c r="O367" s="2"/>
      <c r="P367"/>
      <c r="Q367"/>
      <c r="R367"/>
    </row>
    <row r="368" spans="2:18" x14ac:dyDescent="0.35">
      <c r="B368" s="15"/>
      <c r="C368" s="15"/>
      <c r="D368" s="10"/>
      <c r="E368" s="20"/>
      <c r="O368" s="2"/>
      <c r="P368"/>
      <c r="Q368"/>
      <c r="R368"/>
    </row>
    <row r="369" spans="2:18" x14ac:dyDescent="0.35">
      <c r="B369" s="15"/>
      <c r="C369" s="15"/>
      <c r="D369" s="10"/>
      <c r="E369" s="20"/>
      <c r="O369" s="2"/>
      <c r="P369"/>
      <c r="Q369"/>
      <c r="R369"/>
    </row>
    <row r="370" spans="2:18" x14ac:dyDescent="0.35">
      <c r="B370" s="15"/>
      <c r="C370" s="15"/>
      <c r="D370" s="10"/>
      <c r="E370" s="20"/>
      <c r="O370" s="2"/>
      <c r="P370"/>
      <c r="Q370"/>
      <c r="R370"/>
    </row>
    <row r="371" spans="2:18" x14ac:dyDescent="0.35">
      <c r="B371" s="15"/>
      <c r="C371" s="15"/>
      <c r="D371" s="10"/>
      <c r="E371" s="20"/>
      <c r="O371" s="2"/>
      <c r="P371"/>
      <c r="Q371"/>
      <c r="R371"/>
    </row>
    <row r="372" spans="2:18" x14ac:dyDescent="0.35">
      <c r="B372" s="15"/>
      <c r="C372" s="15"/>
      <c r="D372" s="10"/>
      <c r="E372" s="20"/>
      <c r="O372" s="2"/>
      <c r="P372"/>
      <c r="Q372"/>
      <c r="R372"/>
    </row>
    <row r="373" spans="2:18" x14ac:dyDescent="0.35">
      <c r="B373" s="15"/>
      <c r="C373" s="15"/>
      <c r="D373" s="10"/>
      <c r="E373" s="20"/>
      <c r="O373" s="2"/>
      <c r="P373"/>
      <c r="Q373"/>
      <c r="R373"/>
    </row>
    <row r="374" spans="2:18" x14ac:dyDescent="0.35">
      <c r="B374" s="15"/>
      <c r="C374" s="15"/>
      <c r="D374" s="10"/>
      <c r="E374" s="20"/>
      <c r="O374" s="2"/>
      <c r="P374"/>
      <c r="Q374"/>
      <c r="R374"/>
    </row>
    <row r="375" spans="2:18" x14ac:dyDescent="0.35">
      <c r="B375" s="15"/>
      <c r="C375" s="15"/>
      <c r="D375" s="10"/>
      <c r="E375" s="20"/>
      <c r="O375" s="2"/>
      <c r="P375"/>
      <c r="Q375"/>
      <c r="R375"/>
    </row>
    <row r="376" spans="2:18" x14ac:dyDescent="0.35">
      <c r="B376" s="15"/>
      <c r="C376" s="15"/>
      <c r="D376" s="10"/>
      <c r="E376" s="20"/>
      <c r="O376" s="2"/>
      <c r="P376"/>
      <c r="Q376"/>
      <c r="R376"/>
    </row>
    <row r="377" spans="2:18" x14ac:dyDescent="0.35">
      <c r="B377" s="15"/>
      <c r="C377" s="15"/>
      <c r="D377" s="10"/>
      <c r="E377" s="20"/>
      <c r="O377" s="2"/>
      <c r="P377"/>
      <c r="Q377"/>
      <c r="R377"/>
    </row>
    <row r="378" spans="2:18" x14ac:dyDescent="0.35">
      <c r="B378" s="15"/>
      <c r="C378" s="15"/>
      <c r="D378" s="10"/>
      <c r="E378" s="20"/>
      <c r="O378" s="2"/>
      <c r="P378"/>
      <c r="Q378"/>
      <c r="R378"/>
    </row>
    <row r="379" spans="2:18" x14ac:dyDescent="0.35">
      <c r="B379" s="15"/>
      <c r="C379" s="15"/>
      <c r="D379" s="10"/>
      <c r="E379" s="20"/>
      <c r="O379" s="2"/>
      <c r="P379"/>
      <c r="Q379"/>
      <c r="R379"/>
    </row>
    <row r="380" spans="2:18" x14ac:dyDescent="0.35">
      <c r="B380" s="15"/>
      <c r="C380" s="15"/>
      <c r="D380" s="10"/>
      <c r="E380" s="20"/>
      <c r="O380" s="2"/>
      <c r="P380"/>
      <c r="Q380"/>
      <c r="R380"/>
    </row>
    <row r="381" spans="2:18" x14ac:dyDescent="0.35">
      <c r="B381" s="15"/>
      <c r="C381" s="15"/>
      <c r="D381" s="10"/>
      <c r="E381" s="20"/>
      <c r="O381" s="2"/>
      <c r="P381"/>
      <c r="Q381"/>
      <c r="R381"/>
    </row>
    <row r="382" spans="2:18" x14ac:dyDescent="0.35">
      <c r="B382" s="15"/>
      <c r="C382" s="15"/>
      <c r="D382" s="10"/>
      <c r="E382" s="20"/>
      <c r="O382" s="2"/>
      <c r="P382"/>
      <c r="Q382"/>
      <c r="R382"/>
    </row>
    <row r="383" spans="2:18" x14ac:dyDescent="0.35">
      <c r="B383" s="15"/>
      <c r="C383" s="15"/>
      <c r="D383" s="10"/>
      <c r="E383" s="20"/>
      <c r="O383" s="2"/>
      <c r="P383"/>
      <c r="Q383"/>
      <c r="R383"/>
    </row>
    <row r="384" spans="2:18" x14ac:dyDescent="0.35">
      <c r="B384" s="15"/>
      <c r="C384" s="15"/>
      <c r="D384" s="10"/>
      <c r="E384" s="20"/>
      <c r="O384" s="2"/>
      <c r="P384"/>
      <c r="Q384"/>
      <c r="R384"/>
    </row>
    <row r="385" spans="2:18" x14ac:dyDescent="0.35">
      <c r="B385" s="15"/>
      <c r="C385" s="15"/>
      <c r="D385" s="10"/>
      <c r="E385" s="20"/>
      <c r="O385" s="2"/>
      <c r="P385"/>
      <c r="Q385"/>
      <c r="R385"/>
    </row>
    <row r="386" spans="2:18" x14ac:dyDescent="0.35">
      <c r="B386" s="15"/>
      <c r="C386" s="15"/>
      <c r="D386" s="10"/>
      <c r="E386" s="20"/>
      <c r="O386" s="2"/>
      <c r="P386"/>
      <c r="Q386"/>
      <c r="R386"/>
    </row>
    <row r="387" spans="2:18" x14ac:dyDescent="0.35">
      <c r="B387" s="15"/>
      <c r="C387" s="15"/>
      <c r="D387" s="10"/>
      <c r="E387" s="20"/>
      <c r="O387" s="2"/>
      <c r="P387"/>
      <c r="Q387"/>
      <c r="R387"/>
    </row>
    <row r="388" spans="2:18" x14ac:dyDescent="0.35">
      <c r="B388" s="15"/>
      <c r="C388" s="15"/>
      <c r="D388" s="10"/>
      <c r="E388" s="20"/>
      <c r="O388" s="2"/>
      <c r="P388"/>
      <c r="Q388"/>
      <c r="R388"/>
    </row>
    <row r="389" spans="2:18" x14ac:dyDescent="0.35">
      <c r="B389" s="15"/>
      <c r="C389" s="15"/>
      <c r="D389" s="10"/>
      <c r="E389" s="20"/>
      <c r="O389" s="2"/>
      <c r="P389"/>
      <c r="Q389"/>
      <c r="R389"/>
    </row>
    <row r="390" spans="2:18" x14ac:dyDescent="0.35">
      <c r="B390" s="15"/>
      <c r="C390" s="15"/>
      <c r="D390" s="10"/>
      <c r="E390" s="20"/>
      <c r="O390" s="2"/>
      <c r="P390"/>
      <c r="Q390"/>
      <c r="R390"/>
    </row>
    <row r="391" spans="2:18" x14ac:dyDescent="0.35">
      <c r="B391" s="15"/>
      <c r="C391" s="15"/>
      <c r="D391" s="10"/>
      <c r="E391" s="20"/>
      <c r="O391" s="2"/>
      <c r="P391"/>
      <c r="Q391"/>
      <c r="R391"/>
    </row>
    <row r="392" spans="2:18" x14ac:dyDescent="0.35">
      <c r="B392" s="15"/>
      <c r="C392" s="15"/>
      <c r="D392" s="10"/>
      <c r="E392" s="20"/>
      <c r="O392" s="2"/>
      <c r="P392"/>
      <c r="Q392"/>
      <c r="R392"/>
    </row>
    <row r="393" spans="2:18" x14ac:dyDescent="0.35">
      <c r="B393" s="15"/>
      <c r="C393" s="15"/>
      <c r="D393" s="10"/>
      <c r="E393" s="20"/>
      <c r="O393" s="2"/>
      <c r="P393"/>
      <c r="Q393"/>
      <c r="R393"/>
    </row>
    <row r="394" spans="2:18" x14ac:dyDescent="0.35">
      <c r="B394" s="15"/>
      <c r="C394" s="15"/>
      <c r="D394" s="10"/>
      <c r="E394" s="20"/>
      <c r="O394" s="2"/>
      <c r="P394"/>
      <c r="Q394"/>
      <c r="R394"/>
    </row>
    <row r="395" spans="2:18" x14ac:dyDescent="0.35">
      <c r="B395" s="15"/>
      <c r="C395" s="15"/>
      <c r="D395" s="10"/>
      <c r="E395" s="20"/>
      <c r="O395" s="2"/>
      <c r="P395"/>
      <c r="Q395"/>
      <c r="R395"/>
    </row>
    <row r="396" spans="2:18" x14ac:dyDescent="0.35">
      <c r="B396" s="15"/>
      <c r="C396" s="15"/>
      <c r="D396" s="10"/>
      <c r="E396" s="20"/>
      <c r="O396" s="2"/>
      <c r="P396"/>
      <c r="Q396"/>
      <c r="R396"/>
    </row>
    <row r="397" spans="2:18" x14ac:dyDescent="0.35">
      <c r="B397" s="15"/>
      <c r="C397" s="15"/>
      <c r="D397" s="10"/>
      <c r="E397" s="20"/>
      <c r="O397" s="2"/>
      <c r="P397"/>
      <c r="Q397"/>
      <c r="R397"/>
    </row>
    <row r="398" spans="2:18" x14ac:dyDescent="0.35">
      <c r="B398" s="15"/>
      <c r="C398" s="15"/>
      <c r="D398" s="10"/>
      <c r="E398" s="20"/>
      <c r="O398" s="2"/>
      <c r="P398"/>
      <c r="Q398"/>
      <c r="R398"/>
    </row>
    <row r="399" spans="2:18" x14ac:dyDescent="0.35">
      <c r="B399" s="15"/>
      <c r="C399" s="15"/>
      <c r="D399" s="10"/>
      <c r="E399" s="20"/>
      <c r="O399" s="2"/>
      <c r="P399"/>
      <c r="Q399"/>
      <c r="R399"/>
    </row>
    <row r="400" spans="2:18" x14ac:dyDescent="0.35">
      <c r="B400" s="15"/>
      <c r="C400" s="15"/>
      <c r="D400" s="10"/>
      <c r="E400" s="20"/>
      <c r="O400" s="2"/>
      <c r="P400"/>
      <c r="Q400"/>
      <c r="R400"/>
    </row>
    <row r="401" spans="2:18" x14ac:dyDescent="0.35">
      <c r="B401" s="15"/>
      <c r="C401" s="15"/>
      <c r="D401" s="10"/>
      <c r="E401" s="20"/>
      <c r="O401" s="2"/>
      <c r="P401"/>
      <c r="Q401"/>
      <c r="R401"/>
    </row>
    <row r="402" spans="2:18" x14ac:dyDescent="0.35">
      <c r="B402" s="15"/>
      <c r="C402" s="15"/>
      <c r="D402" s="10"/>
      <c r="E402" s="20"/>
      <c r="O402" s="2"/>
      <c r="P402"/>
      <c r="Q402"/>
      <c r="R402"/>
    </row>
    <row r="403" spans="2:18" x14ac:dyDescent="0.35">
      <c r="B403" s="15"/>
      <c r="C403" s="15"/>
      <c r="D403" s="10"/>
      <c r="E403" s="20"/>
      <c r="O403" s="2"/>
      <c r="P403"/>
      <c r="Q403"/>
      <c r="R403"/>
    </row>
    <row r="404" spans="2:18" x14ac:dyDescent="0.35">
      <c r="B404" s="15"/>
      <c r="C404" s="15"/>
      <c r="D404" s="10"/>
      <c r="E404" s="20"/>
      <c r="O404" s="2"/>
      <c r="P404"/>
      <c r="Q404"/>
      <c r="R404"/>
    </row>
    <row r="405" spans="2:18" x14ac:dyDescent="0.35">
      <c r="B405" s="15"/>
      <c r="C405" s="15"/>
      <c r="D405" s="10"/>
      <c r="E405" s="20"/>
      <c r="O405" s="2"/>
      <c r="P405"/>
      <c r="Q405"/>
      <c r="R405"/>
    </row>
    <row r="406" spans="2:18" x14ac:dyDescent="0.35">
      <c r="B406" s="15"/>
      <c r="C406" s="15"/>
      <c r="D406" s="10"/>
      <c r="E406" s="20"/>
      <c r="O406" s="2"/>
      <c r="P406"/>
      <c r="Q406"/>
      <c r="R406"/>
    </row>
    <row r="407" spans="2:18" x14ac:dyDescent="0.35">
      <c r="B407" s="15"/>
      <c r="C407" s="15"/>
      <c r="D407" s="10"/>
      <c r="E407" s="20"/>
      <c r="O407" s="2"/>
      <c r="P407"/>
      <c r="Q407"/>
      <c r="R407"/>
    </row>
    <row r="408" spans="2:18" x14ac:dyDescent="0.35">
      <c r="B408" s="15"/>
      <c r="C408" s="15"/>
      <c r="D408" s="10"/>
      <c r="E408" s="20"/>
      <c r="O408" s="2"/>
      <c r="P408"/>
      <c r="Q408"/>
      <c r="R408"/>
    </row>
    <row r="409" spans="2:18" x14ac:dyDescent="0.35">
      <c r="B409" s="15"/>
      <c r="C409" s="15"/>
      <c r="D409" s="10"/>
      <c r="E409" s="20"/>
      <c r="O409" s="2"/>
      <c r="P409"/>
      <c r="Q409"/>
      <c r="R409"/>
    </row>
    <row r="410" spans="2:18" x14ac:dyDescent="0.35">
      <c r="B410" s="15"/>
      <c r="C410" s="15"/>
      <c r="D410" s="10"/>
      <c r="E410" s="20"/>
      <c r="O410" s="2"/>
      <c r="P410"/>
      <c r="Q410"/>
      <c r="R410"/>
    </row>
    <row r="411" spans="2:18" x14ac:dyDescent="0.35">
      <c r="B411" s="15"/>
      <c r="C411" s="15"/>
      <c r="D411" s="10"/>
      <c r="E411" s="20"/>
      <c r="O411" s="2"/>
      <c r="P411"/>
      <c r="Q411"/>
      <c r="R411"/>
    </row>
    <row r="412" spans="2:18" x14ac:dyDescent="0.35">
      <c r="B412" s="15"/>
      <c r="C412" s="15"/>
      <c r="D412" s="10"/>
      <c r="E412" s="20"/>
      <c r="O412" s="2"/>
      <c r="P412"/>
      <c r="Q412"/>
      <c r="R412"/>
    </row>
    <row r="413" spans="2:18" x14ac:dyDescent="0.35">
      <c r="B413" s="15"/>
      <c r="C413" s="15"/>
      <c r="D413" s="10"/>
      <c r="E413" s="20"/>
      <c r="O413" s="2"/>
      <c r="P413"/>
      <c r="Q413"/>
      <c r="R413"/>
    </row>
    <row r="414" spans="2:18" x14ac:dyDescent="0.35">
      <c r="B414" s="15"/>
      <c r="C414" s="15"/>
      <c r="D414" s="10"/>
      <c r="E414" s="20"/>
      <c r="O414" s="2"/>
      <c r="P414"/>
      <c r="Q414"/>
      <c r="R414"/>
    </row>
    <row r="415" spans="2:18" x14ac:dyDescent="0.35">
      <c r="B415" s="15"/>
      <c r="C415" s="15"/>
      <c r="D415" s="10"/>
      <c r="E415" s="20"/>
      <c r="O415" s="2"/>
      <c r="P415"/>
      <c r="Q415"/>
      <c r="R415"/>
    </row>
    <row r="416" spans="2:18" x14ac:dyDescent="0.35">
      <c r="B416" s="15"/>
      <c r="C416" s="15"/>
      <c r="D416" s="10"/>
      <c r="E416" s="20"/>
      <c r="O416" s="2"/>
      <c r="P416"/>
      <c r="Q416"/>
      <c r="R416"/>
    </row>
    <row r="417" spans="2:18" x14ac:dyDescent="0.35">
      <c r="B417" s="15"/>
      <c r="C417" s="15"/>
      <c r="D417" s="10"/>
      <c r="E417" s="20"/>
      <c r="O417" s="2"/>
      <c r="P417"/>
      <c r="Q417"/>
      <c r="R417"/>
    </row>
    <row r="418" spans="2:18" x14ac:dyDescent="0.35">
      <c r="B418" s="15"/>
      <c r="C418" s="15"/>
      <c r="D418" s="10"/>
      <c r="E418" s="20"/>
      <c r="O418" s="2"/>
      <c r="P418"/>
      <c r="Q418"/>
      <c r="R418"/>
    </row>
    <row r="419" spans="2:18" x14ac:dyDescent="0.35">
      <c r="B419" s="15"/>
      <c r="C419" s="15"/>
      <c r="D419" s="10"/>
      <c r="E419" s="20"/>
      <c r="O419" s="2"/>
      <c r="P419"/>
      <c r="Q419"/>
      <c r="R419"/>
    </row>
    <row r="420" spans="2:18" x14ac:dyDescent="0.35">
      <c r="B420" s="15"/>
      <c r="C420" s="15"/>
      <c r="D420" s="10"/>
      <c r="E420" s="20"/>
      <c r="O420" s="2"/>
      <c r="P420"/>
      <c r="Q420"/>
      <c r="R420"/>
    </row>
    <row r="421" spans="2:18" x14ac:dyDescent="0.35">
      <c r="B421" s="15"/>
      <c r="C421" s="15"/>
      <c r="D421" s="10"/>
      <c r="E421" s="20"/>
      <c r="O421" s="2"/>
      <c r="P421"/>
      <c r="Q421"/>
      <c r="R421"/>
    </row>
    <row r="422" spans="2:18" x14ac:dyDescent="0.35">
      <c r="B422" s="15"/>
      <c r="C422" s="15"/>
      <c r="D422" s="10"/>
      <c r="E422" s="20"/>
      <c r="O422" s="2"/>
      <c r="P422"/>
      <c r="Q422"/>
      <c r="R422"/>
    </row>
    <row r="423" spans="2:18" x14ac:dyDescent="0.35">
      <c r="B423" s="15"/>
      <c r="C423" s="15"/>
      <c r="D423" s="10"/>
      <c r="E423" s="20"/>
      <c r="O423" s="2"/>
      <c r="P423"/>
      <c r="Q423"/>
      <c r="R423"/>
    </row>
    <row r="424" spans="2:18" x14ac:dyDescent="0.35">
      <c r="B424" s="15"/>
      <c r="C424" s="15"/>
      <c r="D424" s="10"/>
      <c r="E424" s="20"/>
      <c r="O424" s="2"/>
      <c r="P424"/>
      <c r="Q424"/>
      <c r="R424"/>
    </row>
    <row r="425" spans="2:18" x14ac:dyDescent="0.35">
      <c r="B425" s="15"/>
      <c r="C425" s="15"/>
      <c r="D425" s="10"/>
      <c r="E425" s="20"/>
      <c r="O425" s="2"/>
      <c r="P425"/>
      <c r="Q425"/>
      <c r="R425"/>
    </row>
    <row r="426" spans="2:18" x14ac:dyDescent="0.35">
      <c r="B426" s="15"/>
      <c r="C426" s="15"/>
      <c r="D426" s="10"/>
      <c r="E426" s="20"/>
      <c r="O426" s="2"/>
      <c r="P426"/>
      <c r="Q426"/>
      <c r="R426"/>
    </row>
    <row r="427" spans="2:18" x14ac:dyDescent="0.35">
      <c r="B427" s="15"/>
      <c r="C427" s="15"/>
      <c r="D427" s="10"/>
      <c r="E427" s="20"/>
      <c r="O427" s="2"/>
      <c r="P427"/>
      <c r="Q427"/>
      <c r="R427"/>
    </row>
    <row r="428" spans="2:18" x14ac:dyDescent="0.35">
      <c r="B428" s="15"/>
      <c r="C428" s="15"/>
      <c r="D428" s="10"/>
      <c r="E428" s="20"/>
      <c r="O428" s="2"/>
      <c r="P428"/>
      <c r="Q428"/>
      <c r="R428"/>
    </row>
    <row r="429" spans="2:18" x14ac:dyDescent="0.35">
      <c r="B429" s="15"/>
      <c r="C429" s="15"/>
      <c r="D429" s="10"/>
      <c r="E429" s="20"/>
      <c r="O429" s="2"/>
      <c r="P429"/>
      <c r="Q429"/>
      <c r="R429"/>
    </row>
    <row r="430" spans="2:18" x14ac:dyDescent="0.35">
      <c r="B430" s="15"/>
      <c r="C430" s="15"/>
      <c r="D430" s="10"/>
      <c r="E430" s="20"/>
      <c r="O430" s="2"/>
      <c r="P430"/>
      <c r="Q430"/>
      <c r="R430"/>
    </row>
    <row r="431" spans="2:18" x14ac:dyDescent="0.35">
      <c r="B431" s="15"/>
      <c r="C431" s="15"/>
      <c r="D431" s="10"/>
      <c r="E431" s="20"/>
      <c r="O431" s="2"/>
      <c r="P431"/>
      <c r="Q431"/>
      <c r="R431"/>
    </row>
    <row r="432" spans="2:18" x14ac:dyDescent="0.35">
      <c r="B432" s="15"/>
      <c r="C432" s="15"/>
      <c r="D432" s="10"/>
      <c r="E432" s="20"/>
      <c r="O432" s="2"/>
      <c r="P432"/>
      <c r="Q432"/>
      <c r="R432"/>
    </row>
    <row r="433" spans="2:18" x14ac:dyDescent="0.35">
      <c r="B433" s="15"/>
      <c r="C433" s="15"/>
      <c r="D433" s="10"/>
      <c r="E433" s="20"/>
      <c r="O433" s="2"/>
      <c r="P433"/>
      <c r="Q433"/>
      <c r="R433"/>
    </row>
    <row r="434" spans="2:18" x14ac:dyDescent="0.35">
      <c r="B434" s="15"/>
      <c r="C434" s="15"/>
      <c r="D434" s="10"/>
      <c r="E434" s="20"/>
      <c r="O434" s="2"/>
      <c r="P434"/>
      <c r="Q434"/>
      <c r="R434"/>
    </row>
    <row r="435" spans="2:18" x14ac:dyDescent="0.35">
      <c r="B435" s="15"/>
      <c r="C435" s="15"/>
      <c r="D435" s="10"/>
      <c r="E435" s="20"/>
      <c r="O435" s="2"/>
      <c r="P435"/>
      <c r="Q435"/>
      <c r="R435"/>
    </row>
    <row r="436" spans="2:18" x14ac:dyDescent="0.35">
      <c r="B436" s="15"/>
      <c r="C436" s="15"/>
      <c r="D436" s="10"/>
      <c r="E436" s="20"/>
      <c r="O436" s="2"/>
      <c r="P436"/>
      <c r="Q436"/>
      <c r="R436"/>
    </row>
    <row r="437" spans="2:18" x14ac:dyDescent="0.35">
      <c r="B437" s="15"/>
      <c r="C437" s="15"/>
      <c r="D437" s="10"/>
      <c r="E437" s="20"/>
      <c r="O437" s="2"/>
      <c r="P437"/>
      <c r="Q437"/>
      <c r="R437"/>
    </row>
    <row r="438" spans="2:18" x14ac:dyDescent="0.35">
      <c r="B438" s="15"/>
      <c r="C438" s="15"/>
      <c r="D438" s="10"/>
      <c r="E438" s="20"/>
      <c r="O438" s="2"/>
      <c r="P438"/>
      <c r="Q438"/>
      <c r="R438"/>
    </row>
    <row r="439" spans="2:18" x14ac:dyDescent="0.35">
      <c r="B439" s="15"/>
      <c r="C439" s="15"/>
      <c r="D439" s="10"/>
      <c r="E439" s="20"/>
      <c r="O439" s="2"/>
      <c r="P439"/>
      <c r="Q439"/>
      <c r="R439"/>
    </row>
    <row r="440" spans="2:18" x14ac:dyDescent="0.35">
      <c r="B440" s="15"/>
      <c r="C440" s="15"/>
      <c r="D440" s="10"/>
      <c r="E440" s="20"/>
      <c r="O440" s="2"/>
      <c r="P440"/>
      <c r="Q440"/>
      <c r="R440"/>
    </row>
    <row r="441" spans="2:18" x14ac:dyDescent="0.35">
      <c r="B441" s="15"/>
      <c r="C441" s="15"/>
      <c r="D441" s="10"/>
      <c r="E441" s="20"/>
      <c r="O441" s="2"/>
      <c r="P441"/>
      <c r="Q441"/>
      <c r="R441"/>
    </row>
    <row r="442" spans="2:18" x14ac:dyDescent="0.35">
      <c r="B442" s="15"/>
      <c r="C442" s="15"/>
      <c r="D442" s="10"/>
      <c r="E442" s="20"/>
      <c r="O442" s="2"/>
      <c r="P442"/>
      <c r="Q442"/>
      <c r="R442"/>
    </row>
    <row r="443" spans="2:18" x14ac:dyDescent="0.35">
      <c r="B443" s="15"/>
      <c r="C443" s="15"/>
      <c r="D443" s="10"/>
      <c r="E443" s="20"/>
      <c r="O443" s="2"/>
      <c r="P443"/>
      <c r="Q443"/>
      <c r="R443"/>
    </row>
    <row r="444" spans="2:18" x14ac:dyDescent="0.35">
      <c r="B444" s="15"/>
      <c r="C444" s="15"/>
      <c r="D444" s="10"/>
      <c r="E444" s="20"/>
      <c r="O444" s="2"/>
      <c r="P444"/>
      <c r="Q444"/>
      <c r="R444"/>
    </row>
    <row r="445" spans="2:18" x14ac:dyDescent="0.35">
      <c r="B445" s="15"/>
      <c r="C445" s="15"/>
      <c r="D445" s="10"/>
      <c r="E445" s="20"/>
      <c r="O445" s="2"/>
      <c r="P445"/>
      <c r="Q445"/>
      <c r="R445"/>
    </row>
    <row r="446" spans="2:18" x14ac:dyDescent="0.35">
      <c r="B446" s="15"/>
      <c r="C446" s="15"/>
      <c r="D446" s="10"/>
      <c r="E446" s="20"/>
      <c r="O446" s="2"/>
      <c r="P446"/>
      <c r="Q446"/>
      <c r="R446"/>
    </row>
    <row r="447" spans="2:18" x14ac:dyDescent="0.35">
      <c r="B447" s="15"/>
      <c r="C447" s="15"/>
      <c r="D447" s="10"/>
      <c r="E447" s="20"/>
      <c r="O447" s="2"/>
      <c r="P447"/>
      <c r="Q447"/>
      <c r="R447"/>
    </row>
    <row r="448" spans="2:18" x14ac:dyDescent="0.35">
      <c r="B448" s="15"/>
      <c r="C448" s="15"/>
      <c r="D448" s="10"/>
      <c r="E448" s="20"/>
      <c r="O448" s="2"/>
      <c r="P448"/>
      <c r="Q448"/>
      <c r="R448"/>
    </row>
    <row r="449" spans="2:18" x14ac:dyDescent="0.35">
      <c r="B449" s="15"/>
      <c r="C449" s="15"/>
      <c r="D449" s="10"/>
      <c r="E449" s="20"/>
      <c r="O449" s="2"/>
      <c r="P449"/>
      <c r="Q449"/>
      <c r="R449"/>
    </row>
    <row r="450" spans="2:18" x14ac:dyDescent="0.35">
      <c r="B450" s="15"/>
      <c r="C450" s="15"/>
      <c r="D450" s="10"/>
      <c r="E450" s="20"/>
      <c r="O450" s="2"/>
      <c r="P450"/>
      <c r="Q450"/>
      <c r="R450"/>
    </row>
    <row r="451" spans="2:18" x14ac:dyDescent="0.35">
      <c r="B451" s="15"/>
      <c r="C451" s="15"/>
      <c r="D451" s="10"/>
      <c r="E451" s="20"/>
      <c r="O451" s="2"/>
      <c r="P451"/>
      <c r="Q451"/>
      <c r="R451"/>
    </row>
    <row r="452" spans="2:18" x14ac:dyDescent="0.35">
      <c r="B452" s="15"/>
      <c r="C452" s="15"/>
      <c r="D452" s="10"/>
      <c r="E452" s="20"/>
      <c r="O452" s="2"/>
      <c r="P452"/>
      <c r="Q452"/>
      <c r="R452"/>
    </row>
    <row r="453" spans="2:18" x14ac:dyDescent="0.35">
      <c r="B453" s="15"/>
      <c r="C453" s="15"/>
      <c r="D453" s="10"/>
      <c r="E453" s="20"/>
      <c r="O453" s="2"/>
      <c r="P453"/>
      <c r="Q453"/>
      <c r="R453"/>
    </row>
    <row r="454" spans="2:18" x14ac:dyDescent="0.35">
      <c r="B454" s="15"/>
      <c r="C454" s="15"/>
      <c r="D454" s="10"/>
      <c r="E454" s="20"/>
      <c r="O454" s="2"/>
      <c r="P454"/>
      <c r="Q454"/>
      <c r="R454"/>
    </row>
    <row r="455" spans="2:18" x14ac:dyDescent="0.35">
      <c r="B455" s="15"/>
      <c r="C455" s="15"/>
      <c r="D455" s="10"/>
      <c r="E455" s="20"/>
      <c r="O455" s="2"/>
      <c r="P455"/>
      <c r="Q455"/>
      <c r="R455"/>
    </row>
    <row r="456" spans="2:18" x14ac:dyDescent="0.35">
      <c r="B456" s="15"/>
      <c r="C456" s="15"/>
      <c r="D456" s="10"/>
      <c r="E456" s="20"/>
      <c r="O456" s="2"/>
      <c r="P456"/>
      <c r="Q456"/>
      <c r="R456"/>
    </row>
    <row r="457" spans="2:18" x14ac:dyDescent="0.35">
      <c r="B457" s="15"/>
      <c r="C457" s="15"/>
      <c r="D457" s="10"/>
      <c r="E457" s="20"/>
      <c r="O457" s="2"/>
      <c r="P457"/>
      <c r="Q457"/>
      <c r="R457"/>
    </row>
    <row r="458" spans="2:18" x14ac:dyDescent="0.35">
      <c r="B458" s="15"/>
      <c r="C458" s="15"/>
      <c r="D458" s="10"/>
      <c r="E458" s="20"/>
      <c r="O458" s="2"/>
      <c r="P458"/>
      <c r="Q458"/>
      <c r="R458"/>
    </row>
    <row r="459" spans="2:18" x14ac:dyDescent="0.35">
      <c r="B459" s="15"/>
      <c r="C459" s="15"/>
      <c r="D459" s="10"/>
      <c r="E459" s="20"/>
      <c r="O459" s="2"/>
      <c r="P459"/>
      <c r="Q459"/>
      <c r="R459"/>
    </row>
    <row r="460" spans="2:18" x14ac:dyDescent="0.35">
      <c r="B460" s="15"/>
      <c r="C460" s="15"/>
      <c r="D460" s="10"/>
      <c r="E460" s="20"/>
      <c r="O460" s="2"/>
      <c r="P460"/>
      <c r="Q460"/>
      <c r="R460"/>
    </row>
    <row r="461" spans="2:18" x14ac:dyDescent="0.35">
      <c r="B461" s="15"/>
      <c r="C461" s="15"/>
      <c r="D461" s="10"/>
      <c r="E461" s="20"/>
      <c r="O461" s="2"/>
      <c r="P461"/>
      <c r="Q461"/>
      <c r="R461"/>
    </row>
    <row r="462" spans="2:18" x14ac:dyDescent="0.35">
      <c r="B462" s="15"/>
      <c r="C462" s="15"/>
      <c r="D462" s="10"/>
      <c r="E462" s="20"/>
      <c r="O462" s="2"/>
      <c r="P462"/>
      <c r="Q462"/>
      <c r="R462"/>
    </row>
    <row r="463" spans="2:18" x14ac:dyDescent="0.35">
      <c r="B463" s="15"/>
      <c r="C463" s="15"/>
      <c r="D463" s="10"/>
      <c r="E463" s="20"/>
      <c r="O463" s="2"/>
      <c r="P463"/>
      <c r="Q463"/>
      <c r="R463"/>
    </row>
    <row r="464" spans="2:18" x14ac:dyDescent="0.35">
      <c r="B464" s="15"/>
      <c r="C464" s="15"/>
      <c r="D464" s="10"/>
      <c r="E464" s="20"/>
      <c r="O464" s="2"/>
      <c r="P464"/>
      <c r="Q464"/>
      <c r="R464"/>
    </row>
    <row r="465" spans="2:18" x14ac:dyDescent="0.35">
      <c r="B465" s="15"/>
      <c r="C465" s="15"/>
      <c r="D465" s="10"/>
      <c r="E465" s="20"/>
      <c r="O465" s="2"/>
      <c r="P465"/>
      <c r="Q465"/>
      <c r="R465"/>
    </row>
    <row r="466" spans="2:18" x14ac:dyDescent="0.35">
      <c r="B466" s="15"/>
      <c r="C466" s="15"/>
      <c r="D466" s="10"/>
      <c r="E466" s="20"/>
      <c r="O466" s="2"/>
      <c r="P466"/>
      <c r="Q466"/>
      <c r="R466"/>
    </row>
    <row r="467" spans="2:18" x14ac:dyDescent="0.35">
      <c r="B467" s="15"/>
      <c r="C467" s="15"/>
      <c r="D467" s="10"/>
      <c r="E467" s="20"/>
      <c r="O467" s="2"/>
      <c r="P467"/>
      <c r="Q467"/>
      <c r="R467"/>
    </row>
    <row r="468" spans="2:18" x14ac:dyDescent="0.35">
      <c r="B468" s="15"/>
      <c r="C468" s="15"/>
      <c r="D468" s="10"/>
      <c r="E468" s="20"/>
      <c r="O468" s="2"/>
      <c r="P468"/>
      <c r="Q468"/>
      <c r="R468"/>
    </row>
    <row r="469" spans="2:18" x14ac:dyDescent="0.35">
      <c r="B469" s="15"/>
      <c r="C469" s="15"/>
      <c r="D469" s="10"/>
      <c r="E469" s="20"/>
      <c r="O469" s="2"/>
      <c r="P469"/>
      <c r="Q469"/>
      <c r="R469"/>
    </row>
    <row r="470" spans="2:18" x14ac:dyDescent="0.35">
      <c r="B470" s="15"/>
      <c r="C470" s="15"/>
      <c r="D470" s="10"/>
      <c r="E470" s="20"/>
      <c r="O470" s="2"/>
      <c r="P470"/>
      <c r="Q470"/>
      <c r="R470"/>
    </row>
    <row r="471" spans="2:18" x14ac:dyDescent="0.35">
      <c r="B471" s="15"/>
      <c r="C471" s="15"/>
      <c r="D471" s="10"/>
      <c r="E471" s="20"/>
      <c r="O471" s="2"/>
      <c r="P471"/>
      <c r="Q471"/>
      <c r="R471"/>
    </row>
    <row r="472" spans="2:18" x14ac:dyDescent="0.35">
      <c r="B472" s="15"/>
      <c r="C472" s="15"/>
      <c r="D472" s="10"/>
      <c r="E472" s="20"/>
      <c r="O472" s="2"/>
      <c r="P472"/>
      <c r="Q472"/>
      <c r="R472"/>
    </row>
    <row r="473" spans="2:18" x14ac:dyDescent="0.35">
      <c r="B473" s="15"/>
      <c r="C473" s="15"/>
      <c r="D473" s="10"/>
      <c r="E473" s="20"/>
      <c r="O473" s="2"/>
      <c r="P473"/>
      <c r="Q473"/>
      <c r="R473"/>
    </row>
    <row r="474" spans="2:18" x14ac:dyDescent="0.35">
      <c r="B474" s="15"/>
      <c r="C474" s="15"/>
      <c r="D474" s="10"/>
      <c r="E474" s="20"/>
      <c r="O474" s="2"/>
      <c r="P474"/>
      <c r="Q474"/>
      <c r="R474"/>
    </row>
    <row r="475" spans="2:18" x14ac:dyDescent="0.35">
      <c r="B475" s="15"/>
      <c r="C475" s="15"/>
      <c r="D475" s="10"/>
      <c r="E475" s="20"/>
      <c r="O475" s="2"/>
      <c r="P475"/>
      <c r="Q475"/>
      <c r="R475"/>
    </row>
    <row r="476" spans="2:18" x14ac:dyDescent="0.35">
      <c r="B476" s="15"/>
      <c r="C476" s="15"/>
      <c r="D476" s="10"/>
      <c r="E476" s="20"/>
      <c r="O476" s="2"/>
      <c r="P476"/>
      <c r="Q476"/>
      <c r="R476"/>
    </row>
    <row r="477" spans="2:18" x14ac:dyDescent="0.35">
      <c r="B477" s="15"/>
      <c r="C477" s="15"/>
      <c r="D477" s="10"/>
      <c r="E477" s="20"/>
      <c r="O477" s="2"/>
      <c r="P477"/>
      <c r="Q477"/>
      <c r="R477"/>
    </row>
    <row r="478" spans="2:18" x14ac:dyDescent="0.35">
      <c r="B478" s="15"/>
      <c r="C478" s="15"/>
      <c r="D478" s="10"/>
      <c r="E478" s="20"/>
      <c r="O478" s="2"/>
      <c r="P478"/>
      <c r="Q478"/>
      <c r="R478"/>
    </row>
    <row r="479" spans="2:18" x14ac:dyDescent="0.35">
      <c r="B479" s="15"/>
      <c r="C479" s="15"/>
      <c r="D479" s="10"/>
      <c r="E479" s="20"/>
      <c r="O479" s="2"/>
      <c r="P479"/>
      <c r="Q479"/>
      <c r="R479"/>
    </row>
    <row r="480" spans="2:18" x14ac:dyDescent="0.35">
      <c r="B480" s="15"/>
      <c r="C480" s="15"/>
      <c r="D480" s="10"/>
      <c r="E480" s="20"/>
      <c r="O480" s="2"/>
      <c r="P480"/>
      <c r="Q480"/>
      <c r="R480"/>
    </row>
    <row r="481" spans="2:18" x14ac:dyDescent="0.35">
      <c r="B481" s="15"/>
      <c r="C481" s="15"/>
      <c r="D481" s="10"/>
      <c r="E481" s="20"/>
      <c r="O481" s="2"/>
      <c r="P481"/>
      <c r="Q481"/>
      <c r="R481"/>
    </row>
    <row r="482" spans="2:18" x14ac:dyDescent="0.35">
      <c r="B482" s="15"/>
      <c r="C482" s="15"/>
      <c r="D482" s="10"/>
      <c r="E482" s="20"/>
      <c r="O482" s="2"/>
      <c r="P482"/>
      <c r="Q482"/>
      <c r="R482"/>
    </row>
    <row r="483" spans="2:18" x14ac:dyDescent="0.35">
      <c r="B483" s="15"/>
      <c r="C483" s="15"/>
      <c r="D483" s="10"/>
      <c r="E483" s="20"/>
      <c r="O483" s="2"/>
      <c r="P483"/>
      <c r="Q483"/>
      <c r="R483"/>
    </row>
    <row r="484" spans="2:18" x14ac:dyDescent="0.35">
      <c r="B484" s="15"/>
      <c r="C484" s="15"/>
      <c r="D484" s="10"/>
      <c r="E484" s="20"/>
      <c r="O484" s="2"/>
      <c r="P484"/>
      <c r="Q484"/>
      <c r="R484"/>
    </row>
    <row r="485" spans="2:18" x14ac:dyDescent="0.35">
      <c r="B485" s="15"/>
      <c r="C485" s="15"/>
      <c r="D485" s="10"/>
      <c r="E485" s="20"/>
      <c r="O485" s="2"/>
      <c r="P485"/>
      <c r="Q485"/>
      <c r="R485"/>
    </row>
    <row r="486" spans="2:18" x14ac:dyDescent="0.35">
      <c r="B486" s="15"/>
      <c r="C486" s="15"/>
      <c r="D486" s="10"/>
      <c r="E486" s="20"/>
      <c r="O486" s="2"/>
      <c r="P486"/>
      <c r="Q486"/>
      <c r="R486"/>
    </row>
    <row r="487" spans="2:18" x14ac:dyDescent="0.35">
      <c r="B487" s="15"/>
      <c r="C487" s="15"/>
      <c r="D487" s="10"/>
      <c r="E487" s="20"/>
      <c r="O487" s="2"/>
      <c r="P487"/>
      <c r="Q487"/>
      <c r="R487"/>
    </row>
    <row r="488" spans="2:18" x14ac:dyDescent="0.35">
      <c r="B488" s="15"/>
      <c r="C488" s="15"/>
      <c r="D488" s="10"/>
      <c r="E488" s="20"/>
      <c r="O488" s="2"/>
      <c r="P488"/>
      <c r="Q488"/>
      <c r="R488"/>
    </row>
    <row r="489" spans="2:18" x14ac:dyDescent="0.35">
      <c r="B489" s="15"/>
      <c r="C489" s="15"/>
      <c r="D489" s="10"/>
      <c r="E489" s="20"/>
      <c r="O489" s="2"/>
      <c r="P489"/>
      <c r="Q489"/>
      <c r="R489"/>
    </row>
    <row r="490" spans="2:18" x14ac:dyDescent="0.35">
      <c r="B490" s="15"/>
      <c r="C490" s="15"/>
      <c r="D490" s="10"/>
      <c r="E490" s="20"/>
      <c r="O490" s="2"/>
      <c r="P490"/>
      <c r="Q490"/>
      <c r="R490"/>
    </row>
    <row r="491" spans="2:18" x14ac:dyDescent="0.35">
      <c r="B491" s="15"/>
      <c r="C491" s="15"/>
      <c r="D491" s="10"/>
      <c r="E491" s="20"/>
      <c r="O491" s="2"/>
      <c r="P491"/>
      <c r="Q491"/>
      <c r="R491"/>
    </row>
    <row r="492" spans="2:18" x14ac:dyDescent="0.35">
      <c r="B492" s="15"/>
      <c r="C492" s="15"/>
      <c r="D492" s="10"/>
      <c r="E492" s="20"/>
      <c r="O492" s="2"/>
      <c r="P492"/>
      <c r="Q492"/>
      <c r="R492"/>
    </row>
    <row r="493" spans="2:18" x14ac:dyDescent="0.35">
      <c r="B493" s="15"/>
      <c r="C493" s="15"/>
      <c r="D493" s="10"/>
      <c r="E493" s="20"/>
      <c r="O493" s="2"/>
      <c r="P493"/>
      <c r="Q493"/>
      <c r="R493"/>
    </row>
    <row r="494" spans="2:18" x14ac:dyDescent="0.35">
      <c r="B494" s="15"/>
      <c r="C494" s="15"/>
      <c r="D494" s="10"/>
      <c r="E494" s="20"/>
      <c r="O494" s="2"/>
      <c r="P494"/>
      <c r="Q494"/>
      <c r="R494"/>
    </row>
    <row r="495" spans="2:18" x14ac:dyDescent="0.35">
      <c r="B495" s="15"/>
      <c r="C495" s="15"/>
      <c r="D495" s="10"/>
      <c r="E495" s="20"/>
      <c r="O495" s="2"/>
      <c r="P495"/>
      <c r="Q495"/>
      <c r="R495"/>
    </row>
    <row r="496" spans="2:18" x14ac:dyDescent="0.35">
      <c r="B496" s="15"/>
      <c r="C496" s="15"/>
      <c r="D496" s="10"/>
      <c r="E496" s="20"/>
      <c r="O496" s="2"/>
      <c r="P496"/>
      <c r="Q496"/>
      <c r="R496"/>
    </row>
    <row r="497" spans="2:18" x14ac:dyDescent="0.35">
      <c r="B497" s="15"/>
      <c r="C497" s="15"/>
      <c r="D497" s="10"/>
      <c r="E497" s="20"/>
      <c r="O497" s="2"/>
      <c r="P497"/>
      <c r="Q497"/>
      <c r="R497"/>
    </row>
    <row r="498" spans="2:18" x14ac:dyDescent="0.35">
      <c r="B498" s="15"/>
      <c r="C498" s="15"/>
      <c r="D498" s="10"/>
      <c r="E498" s="20"/>
      <c r="O498" s="2"/>
      <c r="P498"/>
      <c r="Q498"/>
      <c r="R498"/>
    </row>
    <row r="499" spans="2:18" x14ac:dyDescent="0.35">
      <c r="B499" s="15"/>
      <c r="C499" s="15"/>
      <c r="D499" s="10"/>
      <c r="E499" s="20"/>
      <c r="O499" s="2"/>
      <c r="P499"/>
      <c r="Q499"/>
      <c r="R499"/>
    </row>
    <row r="500" spans="2:18" x14ac:dyDescent="0.35">
      <c r="B500" s="15"/>
      <c r="C500" s="15"/>
      <c r="D500" s="10"/>
      <c r="E500" s="20"/>
      <c r="O500" s="2"/>
      <c r="P500"/>
      <c r="Q500"/>
      <c r="R500"/>
    </row>
    <row r="501" spans="2:18" x14ac:dyDescent="0.35">
      <c r="B501" s="15"/>
      <c r="C501" s="15"/>
      <c r="D501" s="10"/>
      <c r="E501" s="20"/>
      <c r="O501" s="2"/>
      <c r="P501"/>
      <c r="Q501"/>
      <c r="R501"/>
    </row>
    <row r="502" spans="2:18" x14ac:dyDescent="0.35">
      <c r="B502" s="15"/>
      <c r="C502" s="15"/>
      <c r="D502" s="10"/>
      <c r="E502" s="20"/>
      <c r="O502" s="2"/>
      <c r="P502"/>
      <c r="Q502"/>
      <c r="R502"/>
    </row>
    <row r="503" spans="2:18" x14ac:dyDescent="0.35">
      <c r="B503" s="15"/>
      <c r="C503" s="15"/>
      <c r="D503" s="10"/>
      <c r="E503" s="20"/>
      <c r="O503" s="2"/>
      <c r="P503"/>
      <c r="Q503"/>
      <c r="R503"/>
    </row>
    <row r="504" spans="2:18" x14ac:dyDescent="0.35">
      <c r="B504" s="15"/>
      <c r="C504" s="15"/>
      <c r="D504" s="10"/>
      <c r="E504" s="20"/>
      <c r="O504" s="2"/>
      <c r="P504"/>
      <c r="Q504"/>
      <c r="R504"/>
    </row>
    <row r="505" spans="2:18" x14ac:dyDescent="0.35">
      <c r="B505" s="15"/>
      <c r="C505" s="15"/>
      <c r="D505" s="10"/>
      <c r="E505" s="20"/>
      <c r="O505" s="2"/>
      <c r="P505"/>
      <c r="Q505"/>
      <c r="R505"/>
    </row>
    <row r="506" spans="2:18" x14ac:dyDescent="0.35">
      <c r="B506" s="15"/>
      <c r="C506" s="15"/>
      <c r="D506" s="10"/>
      <c r="E506" s="20"/>
      <c r="O506" s="2"/>
      <c r="P506"/>
      <c r="Q506"/>
      <c r="R506"/>
    </row>
    <row r="507" spans="2:18" x14ac:dyDescent="0.35">
      <c r="B507" s="15"/>
      <c r="C507" s="15"/>
      <c r="D507" s="10"/>
      <c r="E507" s="20"/>
      <c r="O507" s="2"/>
      <c r="P507"/>
      <c r="Q507"/>
      <c r="R507"/>
    </row>
    <row r="508" spans="2:18" x14ac:dyDescent="0.35">
      <c r="B508" s="15"/>
      <c r="C508" s="15"/>
      <c r="D508" s="10"/>
      <c r="E508" s="20"/>
      <c r="O508" s="2"/>
      <c r="P508"/>
      <c r="Q508"/>
      <c r="R508"/>
    </row>
    <row r="509" spans="2:18" x14ac:dyDescent="0.35">
      <c r="B509" s="15"/>
      <c r="C509" s="15"/>
      <c r="D509" s="10"/>
      <c r="E509" s="20"/>
      <c r="O509" s="2"/>
      <c r="P509"/>
      <c r="Q509"/>
      <c r="R509"/>
    </row>
    <row r="510" spans="2:18" x14ac:dyDescent="0.35">
      <c r="B510" s="15"/>
      <c r="C510" s="15"/>
      <c r="D510" s="10"/>
      <c r="E510" s="20"/>
      <c r="O510" s="2"/>
      <c r="P510"/>
      <c r="Q510"/>
      <c r="R510"/>
    </row>
    <row r="511" spans="2:18" x14ac:dyDescent="0.35">
      <c r="B511" s="15"/>
      <c r="C511" s="15"/>
      <c r="D511" s="10"/>
      <c r="E511" s="20"/>
      <c r="O511" s="2"/>
      <c r="P511"/>
      <c r="Q511"/>
      <c r="R511"/>
    </row>
    <row r="512" spans="2:18" x14ac:dyDescent="0.35">
      <c r="B512" s="15"/>
      <c r="C512" s="15"/>
      <c r="D512" s="10"/>
      <c r="E512" s="20"/>
      <c r="O512" s="2"/>
      <c r="P512"/>
      <c r="Q512"/>
      <c r="R512"/>
    </row>
    <row r="513" spans="2:18" x14ac:dyDescent="0.35">
      <c r="B513" s="15"/>
      <c r="C513" s="15"/>
      <c r="D513" s="10"/>
      <c r="E513" s="20"/>
      <c r="O513" s="2"/>
      <c r="P513"/>
      <c r="Q513"/>
      <c r="R513"/>
    </row>
    <row r="514" spans="2:18" x14ac:dyDescent="0.35">
      <c r="B514" s="15"/>
      <c r="C514" s="15"/>
      <c r="D514" s="10"/>
      <c r="E514" s="20"/>
      <c r="O514" s="2"/>
      <c r="P514"/>
      <c r="Q514"/>
      <c r="R514"/>
    </row>
    <row r="515" spans="2:18" x14ac:dyDescent="0.35">
      <c r="B515" s="15"/>
      <c r="C515" s="15"/>
      <c r="D515" s="10"/>
      <c r="E515" s="20"/>
      <c r="O515" s="2"/>
      <c r="P515"/>
      <c r="Q515"/>
      <c r="R515"/>
    </row>
    <row r="516" spans="2:18" x14ac:dyDescent="0.35">
      <c r="B516" s="15"/>
      <c r="C516" s="15"/>
      <c r="D516" s="10"/>
      <c r="E516" s="20"/>
      <c r="O516" s="2"/>
      <c r="P516"/>
      <c r="Q516"/>
      <c r="R516"/>
    </row>
    <row r="517" spans="2:18" x14ac:dyDescent="0.35">
      <c r="B517" s="15"/>
      <c r="C517" s="15"/>
      <c r="D517" s="10"/>
      <c r="E517" s="20"/>
      <c r="O517" s="2"/>
      <c r="P517"/>
      <c r="Q517"/>
      <c r="R517"/>
    </row>
    <row r="518" spans="2:18" x14ac:dyDescent="0.35">
      <c r="B518" s="15"/>
      <c r="C518" s="15"/>
      <c r="D518" s="10"/>
      <c r="E518" s="20"/>
      <c r="O518" s="2"/>
      <c r="P518"/>
      <c r="Q518"/>
      <c r="R518"/>
    </row>
    <row r="519" spans="2:18" x14ac:dyDescent="0.35">
      <c r="B519" s="15"/>
      <c r="C519" s="15"/>
      <c r="D519" s="10"/>
      <c r="E519" s="20"/>
      <c r="O519" s="2"/>
      <c r="P519"/>
      <c r="Q519"/>
      <c r="R519"/>
    </row>
    <row r="520" spans="2:18" x14ac:dyDescent="0.35">
      <c r="B520" s="15"/>
      <c r="C520" s="15"/>
      <c r="D520" s="10"/>
      <c r="E520" s="20"/>
      <c r="O520" s="2"/>
      <c r="P520"/>
      <c r="Q520"/>
      <c r="R520"/>
    </row>
    <row r="521" spans="2:18" x14ac:dyDescent="0.35">
      <c r="B521" s="15"/>
      <c r="C521" s="15"/>
      <c r="D521" s="10"/>
      <c r="E521" s="20"/>
      <c r="O521" s="2"/>
      <c r="P521"/>
      <c r="Q521"/>
      <c r="R521"/>
    </row>
    <row r="522" spans="2:18" x14ac:dyDescent="0.35">
      <c r="B522" s="15"/>
      <c r="C522" s="15"/>
      <c r="D522" s="10"/>
      <c r="E522" s="20"/>
      <c r="O522" s="2"/>
      <c r="P522"/>
      <c r="Q522"/>
      <c r="R522"/>
    </row>
    <row r="523" spans="2:18" x14ac:dyDescent="0.35">
      <c r="B523" s="15"/>
      <c r="C523" s="15"/>
      <c r="D523" s="10"/>
      <c r="E523" s="20"/>
      <c r="O523" s="2"/>
      <c r="P523"/>
      <c r="Q523"/>
      <c r="R523"/>
    </row>
    <row r="524" spans="2:18" x14ac:dyDescent="0.35">
      <c r="B524" s="15"/>
      <c r="C524" s="15"/>
      <c r="D524" s="10"/>
      <c r="E524" s="20"/>
      <c r="O524" s="2"/>
      <c r="P524"/>
      <c r="Q524"/>
      <c r="R524"/>
    </row>
    <row r="525" spans="2:18" x14ac:dyDescent="0.35">
      <c r="B525" s="15"/>
      <c r="C525" s="15"/>
      <c r="D525" s="10"/>
      <c r="E525" s="20"/>
      <c r="O525" s="2"/>
      <c r="P525"/>
      <c r="Q525"/>
      <c r="R525"/>
    </row>
    <row r="526" spans="2:18" x14ac:dyDescent="0.35">
      <c r="B526" s="15"/>
      <c r="C526" s="15"/>
      <c r="D526" s="10"/>
      <c r="E526" s="20"/>
      <c r="O526" s="2"/>
      <c r="P526"/>
      <c r="Q526"/>
      <c r="R526"/>
    </row>
    <row r="527" spans="2:18" x14ac:dyDescent="0.35">
      <c r="B527" s="15"/>
      <c r="C527" s="15"/>
      <c r="D527" s="10"/>
      <c r="E527" s="20"/>
      <c r="O527" s="2"/>
      <c r="P527"/>
      <c r="Q527"/>
      <c r="R527"/>
    </row>
    <row r="528" spans="2:18" x14ac:dyDescent="0.35">
      <c r="B528" s="15"/>
      <c r="C528" s="15"/>
      <c r="D528" s="10"/>
      <c r="E528" s="20"/>
      <c r="O528" s="2"/>
      <c r="P528"/>
      <c r="Q528"/>
      <c r="R528"/>
    </row>
    <row r="529" spans="2:18" x14ac:dyDescent="0.35">
      <c r="B529" s="15"/>
      <c r="C529" s="15"/>
      <c r="D529" s="10"/>
      <c r="E529" s="20"/>
      <c r="O529" s="2"/>
      <c r="P529"/>
      <c r="Q529"/>
      <c r="R529"/>
    </row>
    <row r="530" spans="2:18" x14ac:dyDescent="0.35">
      <c r="B530" s="15"/>
      <c r="C530" s="15"/>
      <c r="D530" s="10"/>
      <c r="E530" s="20"/>
      <c r="O530" s="2"/>
      <c r="P530"/>
      <c r="Q530"/>
      <c r="R530"/>
    </row>
    <row r="531" spans="2:18" x14ac:dyDescent="0.35">
      <c r="B531" s="15"/>
      <c r="C531" s="15"/>
      <c r="D531" s="10"/>
      <c r="E531" s="20"/>
      <c r="O531" s="2"/>
      <c r="P531"/>
      <c r="Q531"/>
      <c r="R531"/>
    </row>
    <row r="532" spans="2:18" x14ac:dyDescent="0.35">
      <c r="B532" s="15"/>
      <c r="C532" s="15"/>
      <c r="D532" s="10"/>
      <c r="E532" s="20"/>
      <c r="O532" s="2"/>
      <c r="P532"/>
      <c r="Q532"/>
      <c r="R532"/>
    </row>
    <row r="533" spans="2:18" x14ac:dyDescent="0.35">
      <c r="B533" s="15"/>
      <c r="C533" s="15"/>
      <c r="D533" s="10"/>
      <c r="E533" s="20"/>
      <c r="O533" s="2"/>
      <c r="P533"/>
      <c r="Q533"/>
      <c r="R533"/>
    </row>
    <row r="534" spans="2:18" x14ac:dyDescent="0.35">
      <c r="B534" s="15"/>
      <c r="C534" s="15"/>
      <c r="D534" s="10"/>
      <c r="E534" s="20"/>
      <c r="O534" s="2"/>
      <c r="P534"/>
      <c r="Q534"/>
      <c r="R534"/>
    </row>
    <row r="535" spans="2:18" x14ac:dyDescent="0.35">
      <c r="B535" s="15"/>
      <c r="C535" s="15"/>
      <c r="D535" s="10"/>
      <c r="E535" s="20"/>
      <c r="O535" s="2"/>
      <c r="P535"/>
      <c r="Q535"/>
      <c r="R535"/>
    </row>
    <row r="536" spans="2:18" x14ac:dyDescent="0.35">
      <c r="B536" s="15"/>
      <c r="C536" s="15"/>
      <c r="D536" s="10"/>
      <c r="E536" s="20"/>
      <c r="O536" s="2"/>
      <c r="P536"/>
      <c r="Q536"/>
      <c r="R536"/>
    </row>
    <row r="537" spans="2:18" x14ac:dyDescent="0.35">
      <c r="B537" s="15"/>
      <c r="C537" s="15"/>
      <c r="D537" s="10"/>
      <c r="E537" s="20"/>
      <c r="O537" s="2"/>
      <c r="P537"/>
      <c r="Q537"/>
      <c r="R537"/>
    </row>
    <row r="538" spans="2:18" x14ac:dyDescent="0.35">
      <c r="B538" s="15"/>
      <c r="C538" s="15"/>
      <c r="D538" s="10"/>
      <c r="E538" s="20"/>
      <c r="O538" s="2"/>
      <c r="P538"/>
      <c r="Q538"/>
      <c r="R538"/>
    </row>
    <row r="539" spans="2:18" x14ac:dyDescent="0.35">
      <c r="B539" s="15"/>
      <c r="C539" s="15"/>
      <c r="D539" s="10"/>
      <c r="E539" s="20"/>
      <c r="O539" s="2"/>
      <c r="P539"/>
      <c r="Q539"/>
      <c r="R539"/>
    </row>
    <row r="540" spans="2:18" x14ac:dyDescent="0.35">
      <c r="B540" s="15"/>
      <c r="C540" s="15"/>
      <c r="D540" s="10"/>
      <c r="E540" s="20"/>
      <c r="O540" s="2"/>
      <c r="P540"/>
      <c r="Q540"/>
      <c r="R540"/>
    </row>
    <row r="541" spans="2:18" x14ac:dyDescent="0.35">
      <c r="B541" s="15"/>
      <c r="C541" s="15"/>
      <c r="D541" s="10"/>
      <c r="E541" s="20"/>
      <c r="O541" s="2"/>
      <c r="P541"/>
      <c r="Q541"/>
      <c r="R541"/>
    </row>
    <row r="542" spans="2:18" x14ac:dyDescent="0.35">
      <c r="B542" s="15"/>
      <c r="C542" s="15"/>
      <c r="D542" s="10"/>
      <c r="E542" s="20"/>
      <c r="O542" s="2"/>
      <c r="P542"/>
      <c r="Q542"/>
      <c r="R542"/>
    </row>
    <row r="543" spans="2:18" x14ac:dyDescent="0.35">
      <c r="B543" s="15"/>
      <c r="C543" s="15"/>
      <c r="D543" s="10"/>
      <c r="E543" s="20"/>
      <c r="O543" s="2"/>
      <c r="P543"/>
      <c r="Q543"/>
      <c r="R543"/>
    </row>
    <row r="544" spans="2:18" x14ac:dyDescent="0.35">
      <c r="B544" s="15"/>
      <c r="C544" s="15"/>
      <c r="D544" s="10"/>
      <c r="E544" s="20"/>
      <c r="O544" s="2"/>
      <c r="P544"/>
      <c r="Q544"/>
      <c r="R544"/>
    </row>
    <row r="545" spans="2:18" x14ac:dyDescent="0.35">
      <c r="B545" s="15"/>
      <c r="C545" s="15"/>
      <c r="D545" s="10"/>
      <c r="E545" s="20"/>
      <c r="O545" s="2"/>
      <c r="P545"/>
      <c r="Q545"/>
      <c r="R545"/>
    </row>
    <row r="546" spans="2:18" x14ac:dyDescent="0.35">
      <c r="B546" s="15"/>
      <c r="C546" s="15"/>
      <c r="D546" s="10"/>
      <c r="E546" s="20"/>
      <c r="O546" s="2"/>
      <c r="P546"/>
      <c r="Q546"/>
      <c r="R546"/>
    </row>
    <row r="547" spans="2:18" x14ac:dyDescent="0.35">
      <c r="B547" s="15"/>
      <c r="C547" s="15"/>
      <c r="D547" s="10"/>
      <c r="E547" s="20"/>
      <c r="O547" s="2"/>
      <c r="P547"/>
      <c r="Q547"/>
      <c r="R547"/>
    </row>
    <row r="548" spans="2:18" x14ac:dyDescent="0.35">
      <c r="B548" s="15"/>
      <c r="C548" s="15"/>
      <c r="D548" s="10"/>
      <c r="E548" s="20"/>
      <c r="O548" s="2"/>
      <c r="P548"/>
      <c r="Q548"/>
      <c r="R548"/>
    </row>
    <row r="549" spans="2:18" x14ac:dyDescent="0.35">
      <c r="B549" s="15"/>
      <c r="C549" s="15"/>
      <c r="D549" s="10"/>
      <c r="E549" s="20"/>
      <c r="O549" s="2"/>
      <c r="P549"/>
      <c r="Q549"/>
      <c r="R549"/>
    </row>
    <row r="550" spans="2:18" x14ac:dyDescent="0.35">
      <c r="B550" s="15"/>
      <c r="C550" s="15"/>
      <c r="D550" s="10"/>
      <c r="E550" s="20"/>
      <c r="O550" s="2"/>
      <c r="P550"/>
      <c r="Q550"/>
      <c r="R550"/>
    </row>
    <row r="551" spans="2:18" x14ac:dyDescent="0.35">
      <c r="B551" s="15"/>
      <c r="C551" s="15"/>
      <c r="D551" s="10"/>
      <c r="E551" s="20"/>
      <c r="O551" s="2"/>
      <c r="P551"/>
      <c r="Q551"/>
      <c r="R551"/>
    </row>
    <row r="552" spans="2:18" x14ac:dyDescent="0.35">
      <c r="B552" s="15"/>
      <c r="C552" s="15"/>
      <c r="D552" s="10"/>
      <c r="E552" s="20"/>
      <c r="O552" s="2"/>
      <c r="P552"/>
      <c r="Q552"/>
      <c r="R552"/>
    </row>
    <row r="553" spans="2:18" x14ac:dyDescent="0.35">
      <c r="B553" s="15"/>
      <c r="C553" s="15"/>
      <c r="D553" s="10"/>
      <c r="E553" s="20"/>
      <c r="O553" s="2"/>
      <c r="P553"/>
      <c r="Q553"/>
      <c r="R553"/>
    </row>
    <row r="554" spans="2:18" x14ac:dyDescent="0.35">
      <c r="B554" s="15"/>
      <c r="C554" s="15"/>
      <c r="D554" s="10"/>
      <c r="E554" s="20"/>
      <c r="O554" s="2"/>
      <c r="P554"/>
      <c r="Q554"/>
      <c r="R554"/>
    </row>
    <row r="555" spans="2:18" x14ac:dyDescent="0.35">
      <c r="B555" s="15"/>
      <c r="C555" s="15"/>
      <c r="D555" s="10"/>
      <c r="E555" s="20"/>
      <c r="O555" s="2"/>
      <c r="P555"/>
      <c r="Q555"/>
      <c r="R555"/>
    </row>
    <row r="556" spans="2:18" x14ac:dyDescent="0.35">
      <c r="B556" s="15"/>
      <c r="C556" s="15"/>
      <c r="D556" s="10"/>
      <c r="E556" s="20"/>
      <c r="O556" s="2"/>
      <c r="P556"/>
      <c r="Q556"/>
      <c r="R556"/>
    </row>
    <row r="557" spans="2:18" x14ac:dyDescent="0.35">
      <c r="B557" s="15"/>
      <c r="C557" s="15"/>
      <c r="D557" s="10"/>
      <c r="E557" s="20"/>
      <c r="O557" s="2"/>
      <c r="P557"/>
      <c r="Q557"/>
      <c r="R557"/>
    </row>
    <row r="558" spans="2:18" x14ac:dyDescent="0.35">
      <c r="B558" s="15"/>
      <c r="C558" s="15"/>
      <c r="D558" s="10"/>
      <c r="E558" s="20"/>
      <c r="O558" s="2"/>
      <c r="P558"/>
      <c r="Q558"/>
      <c r="R558"/>
    </row>
    <row r="559" spans="2:18" x14ac:dyDescent="0.35">
      <c r="B559" s="15"/>
      <c r="C559" s="15"/>
      <c r="D559" s="10"/>
      <c r="E559" s="20"/>
      <c r="O559" s="2"/>
      <c r="P559"/>
      <c r="Q559"/>
      <c r="R559"/>
    </row>
  </sheetData>
  <mergeCells count="7">
    <mergeCell ref="A1:G1"/>
    <mergeCell ref="B2:D2"/>
    <mergeCell ref="H3:I3"/>
    <mergeCell ref="J3:K3"/>
    <mergeCell ref="L3:M3"/>
    <mergeCell ref="F3:G3"/>
    <mergeCell ref="H2:N2"/>
  </mergeCells>
  <conditionalFormatting sqref="I17:N18 C3:M3 H5:M7 H4:K4 M4 A1 H1:Q1 E2:H2 B2:B3 O2:Q2 D4:G13 D17:E559">
    <cfRule type="cellIs" dxfId="3" priority="6" stopIfTrue="1" operator="equal">
      <formula>"Error"</formula>
    </cfRule>
  </conditionalFormatting>
  <conditionalFormatting sqref="B12:B13 B4:C11">
    <cfRule type="cellIs" dxfId="2" priority="3" stopIfTrue="1" operator="equal">
      <formula>"Error"</formula>
    </cfRule>
  </conditionalFormatting>
  <conditionalFormatting sqref="D14:G15">
    <cfRule type="cellIs" dxfId="1" priority="2" stopIfTrue="1" operator="equal">
      <formula>"Error"</formula>
    </cfRule>
  </conditionalFormatting>
  <conditionalFormatting sqref="B15 B14:C14">
    <cfRule type="cellIs" dxfId="0" priority="1" stopIfTrue="1" operator="equal">
      <formula>"Error"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Texture</vt:lpstr>
    </vt:vector>
  </TitlesOfParts>
  <Company>Teagasc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BachiondeSanta</dc:creator>
  <cp:lastModifiedBy>Felipe BachiondeSanta</cp:lastModifiedBy>
  <dcterms:created xsi:type="dcterms:W3CDTF">2021-10-13T15:58:34Z</dcterms:created>
  <dcterms:modified xsi:type="dcterms:W3CDTF">2022-10-21T14:12:00Z</dcterms:modified>
</cp:coreProperties>
</file>